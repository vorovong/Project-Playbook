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간 입력" sheetId="1" state="visible" r:id="rId1"/>
    <sheet xmlns:r="http://schemas.openxmlformats.org/officeDocument/2006/relationships" name="대시보드" sheetId="2" state="visible" r:id="rId2"/>
    <sheet xmlns:r="http://schemas.openxmlformats.org/officeDocument/2006/relationships" name="정산 요약" sheetId="3" state="visible" r:id="rId3"/>
    <sheet xmlns:r="http://schemas.openxmlformats.org/officeDocument/2006/relationships" name="미수금 관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14">
    <font>
      <name val="Calibri"/>
      <family val="2"/>
      <color theme="1"/>
      <sz val="11"/>
      <scheme val="minor"/>
    </font>
    <font>
      <b val="1"/>
      <sz val="14"/>
    </font>
    <font>
      <color rgb="00666666"/>
      <sz val="9"/>
    </font>
    <font>
      <b val="1"/>
      <color rgb="001565C0"/>
      <sz val="13"/>
    </font>
    <font>
      <b val="1"/>
      <color rgb="00424242"/>
      <sz val="11"/>
    </font>
    <font>
      <b val="1"/>
      <sz val="12"/>
    </font>
    <font>
      <i val="1"/>
      <color rgb="00999999"/>
      <sz val="9"/>
    </font>
    <font>
      <b val="1"/>
      <color rgb="00666666"/>
      <sz val="10"/>
    </font>
    <font>
      <b val="1"/>
      <color rgb="00666666"/>
      <sz val="9"/>
    </font>
    <font>
      <b val="1"/>
      <color rgb="001565C0"/>
      <sz val="16"/>
    </font>
    <font>
      <b val="1"/>
      <sz val="13"/>
    </font>
    <font>
      <b val="1"/>
      <sz val="10"/>
    </font>
    <font>
      <b val="1"/>
      <sz val="11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F0F0F0"/>
      </patternFill>
    </fill>
    <fill>
      <patternFill patternType="solid">
        <fgColor rgb="00E8F5E9"/>
      </patternFill>
    </fill>
    <fill>
      <patternFill patternType="solid">
        <fgColor rgb="001565C0"/>
      </patternFill>
    </fill>
    <fill>
      <patternFill patternType="solid">
        <fgColor rgb="00E3F2F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>
        <color rgb="00BBBBB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2" borderId="1" pivotButton="0" quotePrefix="0" xfId="0"/>
    <xf numFmtId="0" fontId="4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right" vertical="center"/>
    </xf>
    <xf numFmtId="3" fontId="0" fillId="2" borderId="1" pivotButton="0" quotePrefix="0" xfId="0"/>
    <xf numFmtId="0" fontId="0" fillId="0" borderId="2" pivotButton="0" quotePrefix="0" xfId="0"/>
    <xf numFmtId="0" fontId="7" fillId="0" borderId="0" applyAlignment="1" pivotButton="0" quotePrefix="0" xfId="0">
      <alignment horizontal="right"/>
    </xf>
    <xf numFmtId="0" fontId="1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9" fillId="0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4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3" fontId="0" fillId="0" borderId="1" pivotButton="0" quotePrefix="0" xfId="0"/>
    <xf numFmtId="3" fontId="0" fillId="5" borderId="1" pivotButton="0" quotePrefix="0" xfId="0"/>
    <xf numFmtId="0" fontId="13" fillId="6" borderId="1" applyAlignment="1" pivotButton="0" quotePrefix="0" xfId="0">
      <alignment horizontal="center" vertical="center" wrapText="1"/>
    </xf>
    <xf numFmtId="3" fontId="13" fillId="6" borderId="1" pivotButton="0" quotePrefix="0" xfId="0"/>
    <xf numFmtId="0" fontId="2" fillId="0" borderId="0" pivotButton="0" quotePrefix="0" xfId="0"/>
    <xf numFmtId="3" fontId="0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3" fontId="0" fillId="4" borderId="1" pivotButton="0" quotePrefix="0" xfId="0"/>
    <xf numFmtId="0" fontId="12" fillId="7" borderId="1" applyAlignment="1" pivotButton="0" quotePrefix="0" xfId="0">
      <alignment horizontal="center" vertical="center" wrapText="1"/>
    </xf>
    <xf numFmtId="0" fontId="12" fillId="7" borderId="1" pivotButton="0" quotePrefix="0" xfId="0"/>
    <xf numFmtId="3" fontId="12" fillId="7" borderId="1" pivotButton="0" quotePrefix="0" xfId="0"/>
    <xf numFmtId="0" fontId="13" fillId="6" borderId="1" pivotButton="0" quotePrefix="0" xfId="0"/>
    <xf numFmtId="0" fontId="1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월별 매출 추이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'대시보드'!B8</f>
            </strRef>
          </tx>
          <spPr>
            <a:solidFill xmlns:a="http://schemas.openxmlformats.org/drawingml/2006/main">
              <a:srgbClr val="1565C0"/>
            </a:solidFill>
            <a:ln xmlns:a="http://schemas.openxmlformats.org/drawingml/2006/main">
              <a:prstDash val="solid"/>
            </a:ln>
          </spPr>
          <cat>
            <numRef>
              <f>'대시보드'!$A$9:$A$20</f>
            </numRef>
          </cat>
          <val>
            <numRef>
              <f>'대시보드'!$B$9:$B$20</f>
            </numRef>
          </val>
        </ser>
        <ser>
          <idx val="1"/>
          <order val="1"/>
          <tx>
            <strRef>
              <f>'대시보드'!C8</f>
            </strRef>
          </tx>
          <spPr>
            <a:solidFill xmlns:a="http://schemas.openxmlformats.org/drawingml/2006/main">
              <a:srgbClr val="4CAF50"/>
            </a:solidFill>
            <a:ln xmlns:a="http://schemas.openxmlformats.org/drawingml/2006/main">
              <a:prstDash val="solid"/>
            </a:ln>
          </spPr>
          <cat>
            <numRef>
              <f>'대시보드'!$A$9:$A$20</f>
            </numRef>
          </cat>
          <val>
            <numRef>
              <f>'대시보드'!$C$9:$C$20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금액 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공존공간 수익 구성</a:t>
            </a:r>
          </a:p>
        </rich>
      </tx>
    </title>
    <plotArea>
      <pieChart>
        <varyColors val="1"/>
        <ser>
          <idx val="0"/>
          <order val="0"/>
          <tx>
            <strRef>
              <f>'대시보드'!B40</f>
            </strRef>
          </tx>
          <spPr>
            <a:ln xmlns:a="http://schemas.openxmlformats.org/drawingml/2006/main">
              <a:prstDash val="solid"/>
            </a:ln>
          </spPr>
          <cat>
            <numRef>
              <f>'대시보드'!$A$41:$A$45</f>
            </numRef>
          </cat>
          <val>
            <numRef>
              <f>'대시보드'!$B$41:$B$45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월별 차감 vs 미식가 지급</a:t>
            </a:r>
          </a:p>
        </rich>
      </tx>
    </title>
    <plotArea>
      <lineChart>
        <grouping val="standard"/>
        <ser>
          <idx val="0"/>
          <order val="0"/>
          <tx>
            <strRef>
              <f>'대시보드'!K8</f>
            </strRef>
          </tx>
          <spPr>
            <a:ln xmlns:a="http://schemas.openxmlformats.org/drawingml/2006/main">
              <a:solidFill>
                <a:srgbClr val="F4433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'대시보드'!$A$9:$A$20</f>
            </numRef>
          </cat>
          <val>
            <numRef>
              <f>'대시보드'!$K$9:$K$20</f>
            </numRef>
          </val>
        </ser>
        <ser>
          <idx val="1"/>
          <order val="1"/>
          <tx>
            <strRef>
              <f>'대시보드'!L8</f>
            </strRef>
          </tx>
          <spPr>
            <a:ln xmlns:a="http://schemas.openxmlformats.org/drawingml/2006/main">
              <a:solidFill>
                <a:srgbClr val="4CAF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'대시보드'!$A$9:$A$20</f>
            </numRef>
          </cat>
          <val>
            <numRef>
              <f>'대시보드'!$L$9:$L$20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금액 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22</row>
      <rowOff>0</rowOff>
    </from>
    <ext cx="64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38</row>
      <rowOff>0</rowOff>
    </from>
    <ext cx="1008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3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2" customWidth="1" min="3" max="3"/>
    <col width="16" customWidth="1" min="4" max="4"/>
    <col width="4" customWidth="1" min="5" max="5"/>
  </cols>
  <sheetData>
    <row r="1">
      <c r="B1" s="1" t="inlineStr">
        <is>
          <t>미식가의 주방 — 주간 정산 입력</t>
        </is>
      </c>
    </row>
    <row r="2">
      <c r="B2" s="2" t="inlineStr">
        <is>
          <t>🟡 노란 칸에만 입력하세요  |  3주차=공과금  |  4주차=임대료+관리비 자동</t>
        </is>
      </c>
    </row>
    <row r="4">
      <c r="B4" s="3" t="inlineStr">
        <is>
          <t>📋 주간 정산 입력  #1</t>
        </is>
      </c>
    </row>
    <row r="5">
      <c r="B5" s="4" t="inlineStr">
        <is>
          <t>월</t>
        </is>
      </c>
      <c r="C5" s="5" t="n"/>
      <c r="D5" s="6" t="inlineStr">
        <is>
          <t>← 1~12</t>
        </is>
      </c>
    </row>
    <row r="6">
      <c r="B6" s="4" t="inlineStr">
        <is>
          <t>주차</t>
        </is>
      </c>
      <c r="C6" s="5" t="n"/>
      <c r="D6" s="6" t="inlineStr">
        <is>
          <t>← 1~5</t>
        </is>
      </c>
    </row>
    <row r="7">
      <c r="B7" s="4" t="inlineStr">
        <is>
          <t>시작일</t>
        </is>
      </c>
      <c r="C7" s="7" t="n"/>
    </row>
    <row r="8">
      <c r="B8" s="4" t="inlineStr">
        <is>
          <t>종료일</t>
        </is>
      </c>
      <c r="C8" s="7" t="n"/>
    </row>
    <row r="9">
      <c r="B9" s="8" t="inlineStr">
        <is>
          <t>■ 매출</t>
        </is>
      </c>
      <c r="C9" s="9" t="n"/>
      <c r="D9" s="9" t="n"/>
    </row>
    <row r="10">
      <c r="B10" s="10" t="inlineStr">
        <is>
          <t>카드매출</t>
        </is>
      </c>
      <c r="C10" s="11" t="n"/>
      <c r="D10" s="6" t="inlineStr">
        <is>
          <t>원</t>
        </is>
      </c>
    </row>
    <row r="11">
      <c r="B11" s="10" t="inlineStr">
        <is>
          <t>현금매출</t>
        </is>
      </c>
      <c r="C11" s="11" t="n"/>
      <c r="D11" s="6" t="inlineStr">
        <is>
          <t>원</t>
        </is>
      </c>
    </row>
    <row r="12">
      <c r="B12" s="8" t="inlineStr">
        <is>
          <t>■ 공과금  (3주차에 지난달분 입력)</t>
        </is>
      </c>
      <c r="C12" s="9" t="n"/>
      <c r="D12" s="9" t="n"/>
    </row>
    <row r="13">
      <c r="B13" s="10" t="inlineStr">
        <is>
          <t>전기요금</t>
        </is>
      </c>
      <c r="C13" s="11" t="n"/>
      <c r="D13" s="6" t="inlineStr">
        <is>
          <t>원 (고지서 그대로)</t>
        </is>
      </c>
    </row>
    <row r="14">
      <c r="B14" s="10" t="inlineStr">
        <is>
          <t>가스요금</t>
        </is>
      </c>
      <c r="C14" s="11" t="n"/>
    </row>
    <row r="15">
      <c r="B15" s="10" t="inlineStr">
        <is>
          <t>수도요금</t>
        </is>
      </c>
      <c r="C15" s="11" t="n"/>
    </row>
    <row r="16">
      <c r="B16" s="8" t="inlineStr">
        <is>
          <t>■ 기타  (발생할 때만)</t>
        </is>
      </c>
      <c r="C16" s="9" t="n"/>
      <c r="D16" s="9" t="n"/>
    </row>
    <row r="17">
      <c r="B17" s="10" t="inlineStr">
        <is>
          <t>정화조 청소</t>
        </is>
      </c>
      <c r="C17" s="11" t="n"/>
    </row>
    <row r="18">
      <c r="B18" s="10" t="inlineStr">
        <is>
          <t>회식 연계매출</t>
        </is>
      </c>
      <c r="C18" s="11" t="n"/>
      <c r="D18" s="6" t="inlineStr">
        <is>
          <t>원 (재생전골 등)</t>
        </is>
      </c>
    </row>
    <row r="19">
      <c r="B19" s="10" t="inlineStr">
        <is>
          <t>기타비용</t>
        </is>
      </c>
      <c r="C19" s="11" t="n"/>
    </row>
    <row r="20">
      <c r="B20" s="10" t="inlineStr">
        <is>
          <t>비고</t>
        </is>
      </c>
      <c r="C20" s="7" t="n"/>
    </row>
    <row r="21">
      <c r="A21" s="12" t="n"/>
      <c r="B21" s="12" t="n"/>
      <c r="C21" s="12" t="n"/>
      <c r="D21" s="12" t="n"/>
      <c r="E21" s="12" t="n"/>
    </row>
    <row r="22">
      <c r="B22" s="3" t="inlineStr">
        <is>
          <t>📋 주간 정산 입력  #2</t>
        </is>
      </c>
    </row>
    <row r="23">
      <c r="B23" s="4" t="inlineStr">
        <is>
          <t>월</t>
        </is>
      </c>
      <c r="C23" s="5" t="n"/>
      <c r="D23" s="6" t="inlineStr">
        <is>
          <t>← 1~12</t>
        </is>
      </c>
    </row>
    <row r="24">
      <c r="B24" s="4" t="inlineStr">
        <is>
          <t>주차</t>
        </is>
      </c>
      <c r="C24" s="5" t="n"/>
      <c r="D24" s="6" t="inlineStr">
        <is>
          <t>← 1~5</t>
        </is>
      </c>
    </row>
    <row r="25">
      <c r="B25" s="4" t="inlineStr">
        <is>
          <t>시작일</t>
        </is>
      </c>
      <c r="C25" s="7" t="n"/>
    </row>
    <row r="26">
      <c r="B26" s="4" t="inlineStr">
        <is>
          <t>종료일</t>
        </is>
      </c>
      <c r="C26" s="7" t="n"/>
    </row>
    <row r="27">
      <c r="B27" s="8" t="inlineStr">
        <is>
          <t>■ 매출</t>
        </is>
      </c>
      <c r="C27" s="9" t="n"/>
      <c r="D27" s="9" t="n"/>
    </row>
    <row r="28">
      <c r="B28" s="10" t="inlineStr">
        <is>
          <t>카드매출</t>
        </is>
      </c>
      <c r="C28" s="11" t="n"/>
      <c r="D28" s="6" t="inlineStr">
        <is>
          <t>원</t>
        </is>
      </c>
    </row>
    <row r="29">
      <c r="B29" s="10" t="inlineStr">
        <is>
          <t>현금매출</t>
        </is>
      </c>
      <c r="C29" s="11" t="n"/>
      <c r="D29" s="6" t="inlineStr">
        <is>
          <t>원</t>
        </is>
      </c>
    </row>
    <row r="30">
      <c r="B30" s="8" t="inlineStr">
        <is>
          <t>■ 공과금  (3주차에 지난달분 입력)</t>
        </is>
      </c>
      <c r="C30" s="9" t="n"/>
      <c r="D30" s="9" t="n"/>
    </row>
    <row r="31">
      <c r="B31" s="10" t="inlineStr">
        <is>
          <t>전기요금</t>
        </is>
      </c>
      <c r="C31" s="11" t="n"/>
      <c r="D31" s="6" t="inlineStr">
        <is>
          <t>원 (고지서 그대로)</t>
        </is>
      </c>
    </row>
    <row r="32">
      <c r="B32" s="10" t="inlineStr">
        <is>
          <t>가스요금</t>
        </is>
      </c>
      <c r="C32" s="11" t="n"/>
    </row>
    <row r="33">
      <c r="B33" s="10" t="inlineStr">
        <is>
          <t>수도요금</t>
        </is>
      </c>
      <c r="C33" s="11" t="n"/>
    </row>
    <row r="34">
      <c r="B34" s="8" t="inlineStr">
        <is>
          <t>■ 기타  (발생할 때만)</t>
        </is>
      </c>
      <c r="C34" s="9" t="n"/>
      <c r="D34" s="9" t="n"/>
    </row>
    <row r="35">
      <c r="B35" s="10" t="inlineStr">
        <is>
          <t>정화조 청소</t>
        </is>
      </c>
      <c r="C35" s="11" t="n"/>
    </row>
    <row r="36">
      <c r="B36" s="10" t="inlineStr">
        <is>
          <t>회식 연계매출</t>
        </is>
      </c>
      <c r="C36" s="11" t="n"/>
      <c r="D36" s="6" t="inlineStr">
        <is>
          <t>원 (재생전골 등)</t>
        </is>
      </c>
    </row>
    <row r="37">
      <c r="B37" s="10" t="inlineStr">
        <is>
          <t>기타비용</t>
        </is>
      </c>
      <c r="C37" s="11" t="n"/>
    </row>
    <row r="38">
      <c r="B38" s="10" t="inlineStr">
        <is>
          <t>비고</t>
        </is>
      </c>
      <c r="C38" s="7" t="n"/>
    </row>
    <row r="39">
      <c r="A39" s="12" t="n"/>
      <c r="B39" s="12" t="n"/>
      <c r="C39" s="12" t="n"/>
      <c r="D39" s="12" t="n"/>
      <c r="E39" s="12" t="n"/>
    </row>
    <row r="40">
      <c r="B40" s="3" t="inlineStr">
        <is>
          <t>📋 주간 정산 입력  #3</t>
        </is>
      </c>
    </row>
    <row r="41">
      <c r="B41" s="4" t="inlineStr">
        <is>
          <t>월</t>
        </is>
      </c>
      <c r="C41" s="5" t="n"/>
      <c r="D41" s="6" t="inlineStr">
        <is>
          <t>← 1~12</t>
        </is>
      </c>
    </row>
    <row r="42">
      <c r="B42" s="4" t="inlineStr">
        <is>
          <t>주차</t>
        </is>
      </c>
      <c r="C42" s="5" t="n"/>
      <c r="D42" s="6" t="inlineStr">
        <is>
          <t>← 1~5</t>
        </is>
      </c>
    </row>
    <row r="43">
      <c r="B43" s="4" t="inlineStr">
        <is>
          <t>시작일</t>
        </is>
      </c>
      <c r="C43" s="7" t="n"/>
    </row>
    <row r="44">
      <c r="B44" s="4" t="inlineStr">
        <is>
          <t>종료일</t>
        </is>
      </c>
      <c r="C44" s="7" t="n"/>
    </row>
    <row r="45">
      <c r="B45" s="8" t="inlineStr">
        <is>
          <t>■ 매출</t>
        </is>
      </c>
      <c r="C45" s="9" t="n"/>
      <c r="D45" s="9" t="n"/>
    </row>
    <row r="46">
      <c r="B46" s="10" t="inlineStr">
        <is>
          <t>카드매출</t>
        </is>
      </c>
      <c r="C46" s="11" t="n"/>
      <c r="D46" s="6" t="inlineStr">
        <is>
          <t>원</t>
        </is>
      </c>
    </row>
    <row r="47">
      <c r="B47" s="10" t="inlineStr">
        <is>
          <t>현금매출</t>
        </is>
      </c>
      <c r="C47" s="11" t="n"/>
      <c r="D47" s="6" t="inlineStr">
        <is>
          <t>원</t>
        </is>
      </c>
    </row>
    <row r="48">
      <c r="B48" s="8" t="inlineStr">
        <is>
          <t>■ 공과금  (3주차에 지난달분 입력)</t>
        </is>
      </c>
      <c r="C48" s="9" t="n"/>
      <c r="D48" s="9" t="n"/>
    </row>
    <row r="49">
      <c r="B49" s="10" t="inlineStr">
        <is>
          <t>전기요금</t>
        </is>
      </c>
      <c r="C49" s="11" t="n"/>
      <c r="D49" s="6" t="inlineStr">
        <is>
          <t>원 (고지서 그대로)</t>
        </is>
      </c>
    </row>
    <row r="50">
      <c r="B50" s="10" t="inlineStr">
        <is>
          <t>가스요금</t>
        </is>
      </c>
      <c r="C50" s="11" t="n"/>
    </row>
    <row r="51">
      <c r="B51" s="10" t="inlineStr">
        <is>
          <t>수도요금</t>
        </is>
      </c>
      <c r="C51" s="11" t="n"/>
    </row>
    <row r="52">
      <c r="B52" s="8" t="inlineStr">
        <is>
          <t>■ 기타  (발생할 때만)</t>
        </is>
      </c>
      <c r="C52" s="9" t="n"/>
      <c r="D52" s="9" t="n"/>
    </row>
    <row r="53">
      <c r="B53" s="10" t="inlineStr">
        <is>
          <t>정화조 청소</t>
        </is>
      </c>
      <c r="C53" s="11" t="n"/>
    </row>
    <row r="54">
      <c r="B54" s="10" t="inlineStr">
        <is>
          <t>회식 연계매출</t>
        </is>
      </c>
      <c r="C54" s="11" t="n"/>
      <c r="D54" s="6" t="inlineStr">
        <is>
          <t>원 (재생전골 등)</t>
        </is>
      </c>
    </row>
    <row r="55">
      <c r="B55" s="10" t="inlineStr">
        <is>
          <t>기타비용</t>
        </is>
      </c>
      <c r="C55" s="11" t="n"/>
    </row>
    <row r="56">
      <c r="B56" s="10" t="inlineStr">
        <is>
          <t>비고</t>
        </is>
      </c>
      <c r="C56" s="7" t="n"/>
    </row>
    <row r="57">
      <c r="A57" s="12" t="n"/>
      <c r="B57" s="12" t="n"/>
      <c r="C57" s="12" t="n"/>
      <c r="D57" s="12" t="n"/>
      <c r="E57" s="12" t="n"/>
    </row>
    <row r="58">
      <c r="B58" s="3" t="inlineStr">
        <is>
          <t>📋 주간 정산 입력  #4</t>
        </is>
      </c>
    </row>
    <row r="59">
      <c r="B59" s="4" t="inlineStr">
        <is>
          <t>월</t>
        </is>
      </c>
      <c r="C59" s="5" t="n"/>
      <c r="D59" s="6" t="inlineStr">
        <is>
          <t>← 1~12</t>
        </is>
      </c>
    </row>
    <row r="60">
      <c r="B60" s="4" t="inlineStr">
        <is>
          <t>주차</t>
        </is>
      </c>
      <c r="C60" s="5" t="n"/>
      <c r="D60" s="6" t="inlineStr">
        <is>
          <t>← 1~5</t>
        </is>
      </c>
    </row>
    <row r="61">
      <c r="B61" s="4" t="inlineStr">
        <is>
          <t>시작일</t>
        </is>
      </c>
      <c r="C61" s="7" t="n"/>
    </row>
    <row r="62">
      <c r="B62" s="4" t="inlineStr">
        <is>
          <t>종료일</t>
        </is>
      </c>
      <c r="C62" s="7" t="n"/>
    </row>
    <row r="63">
      <c r="B63" s="8" t="inlineStr">
        <is>
          <t>■ 매출</t>
        </is>
      </c>
      <c r="C63" s="9" t="n"/>
      <c r="D63" s="9" t="n"/>
    </row>
    <row r="64">
      <c r="B64" s="10" t="inlineStr">
        <is>
          <t>카드매출</t>
        </is>
      </c>
      <c r="C64" s="11" t="n"/>
      <c r="D64" s="6" t="inlineStr">
        <is>
          <t>원</t>
        </is>
      </c>
    </row>
    <row r="65">
      <c r="B65" s="10" t="inlineStr">
        <is>
          <t>현금매출</t>
        </is>
      </c>
      <c r="C65" s="11" t="n"/>
      <c r="D65" s="6" t="inlineStr">
        <is>
          <t>원</t>
        </is>
      </c>
    </row>
    <row r="66">
      <c r="B66" s="8" t="inlineStr">
        <is>
          <t>■ 공과금  (3주차에 지난달분 입력)</t>
        </is>
      </c>
      <c r="C66" s="9" t="n"/>
      <c r="D66" s="9" t="n"/>
    </row>
    <row r="67">
      <c r="B67" s="10" t="inlineStr">
        <is>
          <t>전기요금</t>
        </is>
      </c>
      <c r="C67" s="11" t="n"/>
      <c r="D67" s="6" t="inlineStr">
        <is>
          <t>원 (고지서 그대로)</t>
        </is>
      </c>
    </row>
    <row r="68">
      <c r="B68" s="10" t="inlineStr">
        <is>
          <t>가스요금</t>
        </is>
      </c>
      <c r="C68" s="11" t="n"/>
    </row>
    <row r="69">
      <c r="B69" s="10" t="inlineStr">
        <is>
          <t>수도요금</t>
        </is>
      </c>
      <c r="C69" s="11" t="n"/>
    </row>
    <row r="70">
      <c r="B70" s="8" t="inlineStr">
        <is>
          <t>■ 기타  (발생할 때만)</t>
        </is>
      </c>
      <c r="C70" s="9" t="n"/>
      <c r="D70" s="9" t="n"/>
    </row>
    <row r="71">
      <c r="B71" s="10" t="inlineStr">
        <is>
          <t>정화조 청소</t>
        </is>
      </c>
      <c r="C71" s="11" t="n"/>
    </row>
    <row r="72">
      <c r="B72" s="10" t="inlineStr">
        <is>
          <t>회식 연계매출</t>
        </is>
      </c>
      <c r="C72" s="11" t="n"/>
      <c r="D72" s="6" t="inlineStr">
        <is>
          <t>원 (재생전골 등)</t>
        </is>
      </c>
    </row>
    <row r="73">
      <c r="B73" s="10" t="inlineStr">
        <is>
          <t>기타비용</t>
        </is>
      </c>
      <c r="C73" s="11" t="n"/>
    </row>
    <row r="74">
      <c r="B74" s="10" t="inlineStr">
        <is>
          <t>비고</t>
        </is>
      </c>
      <c r="C74" s="7" t="n"/>
    </row>
    <row r="75">
      <c r="A75" s="12" t="n"/>
      <c r="B75" s="12" t="n"/>
      <c r="C75" s="12" t="n"/>
      <c r="D75" s="12" t="n"/>
      <c r="E75" s="12" t="n"/>
    </row>
    <row r="76">
      <c r="B76" s="3" t="inlineStr">
        <is>
          <t>📋 주간 정산 입력  #5</t>
        </is>
      </c>
    </row>
    <row r="77">
      <c r="B77" s="4" t="inlineStr">
        <is>
          <t>월</t>
        </is>
      </c>
      <c r="C77" s="5" t="n"/>
      <c r="D77" s="6" t="inlineStr">
        <is>
          <t>← 1~12</t>
        </is>
      </c>
    </row>
    <row r="78">
      <c r="B78" s="4" t="inlineStr">
        <is>
          <t>주차</t>
        </is>
      </c>
      <c r="C78" s="5" t="n"/>
      <c r="D78" s="6" t="inlineStr">
        <is>
          <t>← 1~5</t>
        </is>
      </c>
    </row>
    <row r="79">
      <c r="B79" s="4" t="inlineStr">
        <is>
          <t>시작일</t>
        </is>
      </c>
      <c r="C79" s="7" t="n"/>
    </row>
    <row r="80">
      <c r="B80" s="4" t="inlineStr">
        <is>
          <t>종료일</t>
        </is>
      </c>
      <c r="C80" s="7" t="n"/>
    </row>
    <row r="81">
      <c r="B81" s="8" t="inlineStr">
        <is>
          <t>■ 매출</t>
        </is>
      </c>
      <c r="C81" s="9" t="n"/>
      <c r="D81" s="9" t="n"/>
    </row>
    <row r="82">
      <c r="B82" s="10" t="inlineStr">
        <is>
          <t>카드매출</t>
        </is>
      </c>
      <c r="C82" s="11" t="n"/>
      <c r="D82" s="6" t="inlineStr">
        <is>
          <t>원</t>
        </is>
      </c>
    </row>
    <row r="83">
      <c r="B83" s="10" t="inlineStr">
        <is>
          <t>현금매출</t>
        </is>
      </c>
      <c r="C83" s="11" t="n"/>
      <c r="D83" s="6" t="inlineStr">
        <is>
          <t>원</t>
        </is>
      </c>
    </row>
    <row r="84">
      <c r="B84" s="8" t="inlineStr">
        <is>
          <t>■ 공과금  (3주차에 지난달분 입력)</t>
        </is>
      </c>
      <c r="C84" s="9" t="n"/>
      <c r="D84" s="9" t="n"/>
    </row>
    <row r="85">
      <c r="B85" s="10" t="inlineStr">
        <is>
          <t>전기요금</t>
        </is>
      </c>
      <c r="C85" s="11" t="n"/>
      <c r="D85" s="6" t="inlineStr">
        <is>
          <t>원 (고지서 그대로)</t>
        </is>
      </c>
    </row>
    <row r="86">
      <c r="B86" s="10" t="inlineStr">
        <is>
          <t>가스요금</t>
        </is>
      </c>
      <c r="C86" s="11" t="n"/>
    </row>
    <row r="87">
      <c r="B87" s="10" t="inlineStr">
        <is>
          <t>수도요금</t>
        </is>
      </c>
      <c r="C87" s="11" t="n"/>
    </row>
    <row r="88">
      <c r="B88" s="8" t="inlineStr">
        <is>
          <t>■ 기타  (발생할 때만)</t>
        </is>
      </c>
      <c r="C88" s="9" t="n"/>
      <c r="D88" s="9" t="n"/>
    </row>
    <row r="89">
      <c r="B89" s="10" t="inlineStr">
        <is>
          <t>정화조 청소</t>
        </is>
      </c>
      <c r="C89" s="11" t="n"/>
    </row>
    <row r="90">
      <c r="B90" s="10" t="inlineStr">
        <is>
          <t>회식 연계매출</t>
        </is>
      </c>
      <c r="C90" s="11" t="n"/>
      <c r="D90" s="6" t="inlineStr">
        <is>
          <t>원 (재생전골 등)</t>
        </is>
      </c>
    </row>
    <row r="91">
      <c r="B91" s="10" t="inlineStr">
        <is>
          <t>기타비용</t>
        </is>
      </c>
      <c r="C91" s="11" t="n"/>
    </row>
    <row r="92">
      <c r="B92" s="10" t="inlineStr">
        <is>
          <t>비고</t>
        </is>
      </c>
      <c r="C92" s="7" t="n"/>
    </row>
    <row r="93">
      <c r="A93" s="12" t="n"/>
      <c r="B93" s="12" t="n"/>
      <c r="C93" s="12" t="n"/>
      <c r="D93" s="12" t="n"/>
      <c r="E93" s="12" t="n"/>
    </row>
    <row r="94">
      <c r="B94" s="3" t="inlineStr">
        <is>
          <t>📋 주간 정산 입력  #6</t>
        </is>
      </c>
    </row>
    <row r="95">
      <c r="B95" s="4" t="inlineStr">
        <is>
          <t>월</t>
        </is>
      </c>
      <c r="C95" s="5" t="n"/>
      <c r="D95" s="6" t="inlineStr">
        <is>
          <t>← 1~12</t>
        </is>
      </c>
    </row>
    <row r="96">
      <c r="B96" s="4" t="inlineStr">
        <is>
          <t>주차</t>
        </is>
      </c>
      <c r="C96" s="5" t="n"/>
      <c r="D96" s="6" t="inlineStr">
        <is>
          <t>← 1~5</t>
        </is>
      </c>
    </row>
    <row r="97">
      <c r="B97" s="4" t="inlineStr">
        <is>
          <t>시작일</t>
        </is>
      </c>
      <c r="C97" s="7" t="n"/>
    </row>
    <row r="98">
      <c r="B98" s="4" t="inlineStr">
        <is>
          <t>종료일</t>
        </is>
      </c>
      <c r="C98" s="7" t="n"/>
    </row>
    <row r="99">
      <c r="B99" s="8" t="inlineStr">
        <is>
          <t>■ 매출</t>
        </is>
      </c>
      <c r="C99" s="9" t="n"/>
      <c r="D99" s="9" t="n"/>
    </row>
    <row r="100">
      <c r="B100" s="10" t="inlineStr">
        <is>
          <t>카드매출</t>
        </is>
      </c>
      <c r="C100" s="11" t="n"/>
      <c r="D100" s="6" t="inlineStr">
        <is>
          <t>원</t>
        </is>
      </c>
    </row>
    <row r="101">
      <c r="B101" s="10" t="inlineStr">
        <is>
          <t>현금매출</t>
        </is>
      </c>
      <c r="C101" s="11" t="n"/>
      <c r="D101" s="6" t="inlineStr">
        <is>
          <t>원</t>
        </is>
      </c>
    </row>
    <row r="102">
      <c r="B102" s="8" t="inlineStr">
        <is>
          <t>■ 공과금  (3주차에 지난달분 입력)</t>
        </is>
      </c>
      <c r="C102" s="9" t="n"/>
      <c r="D102" s="9" t="n"/>
    </row>
    <row r="103">
      <c r="B103" s="10" t="inlineStr">
        <is>
          <t>전기요금</t>
        </is>
      </c>
      <c r="C103" s="11" t="n"/>
      <c r="D103" s="6" t="inlineStr">
        <is>
          <t>원 (고지서 그대로)</t>
        </is>
      </c>
    </row>
    <row r="104">
      <c r="B104" s="10" t="inlineStr">
        <is>
          <t>가스요금</t>
        </is>
      </c>
      <c r="C104" s="11" t="n"/>
    </row>
    <row r="105">
      <c r="B105" s="10" t="inlineStr">
        <is>
          <t>수도요금</t>
        </is>
      </c>
      <c r="C105" s="11" t="n"/>
    </row>
    <row r="106">
      <c r="B106" s="8" t="inlineStr">
        <is>
          <t>■ 기타  (발생할 때만)</t>
        </is>
      </c>
      <c r="C106" s="9" t="n"/>
      <c r="D106" s="9" t="n"/>
    </row>
    <row r="107">
      <c r="B107" s="10" t="inlineStr">
        <is>
          <t>정화조 청소</t>
        </is>
      </c>
      <c r="C107" s="11" t="n"/>
    </row>
    <row r="108">
      <c r="B108" s="10" t="inlineStr">
        <is>
          <t>회식 연계매출</t>
        </is>
      </c>
      <c r="C108" s="11" t="n"/>
      <c r="D108" s="6" t="inlineStr">
        <is>
          <t>원 (재생전골 등)</t>
        </is>
      </c>
    </row>
    <row r="109">
      <c r="B109" s="10" t="inlineStr">
        <is>
          <t>기타비용</t>
        </is>
      </c>
      <c r="C109" s="11" t="n"/>
    </row>
    <row r="110">
      <c r="B110" s="10" t="inlineStr">
        <is>
          <t>비고</t>
        </is>
      </c>
      <c r="C110" s="7" t="n"/>
    </row>
    <row r="111">
      <c r="A111" s="12" t="n"/>
      <c r="B111" s="12" t="n"/>
      <c r="C111" s="12" t="n"/>
      <c r="D111" s="12" t="n"/>
      <c r="E111" s="12" t="n"/>
    </row>
    <row r="112">
      <c r="B112" s="3" t="inlineStr">
        <is>
          <t>📋 주간 정산 입력  #7</t>
        </is>
      </c>
    </row>
    <row r="113">
      <c r="B113" s="4" t="inlineStr">
        <is>
          <t>월</t>
        </is>
      </c>
      <c r="C113" s="5" t="n"/>
      <c r="D113" s="6" t="inlineStr">
        <is>
          <t>← 1~12</t>
        </is>
      </c>
    </row>
    <row r="114">
      <c r="B114" s="4" t="inlineStr">
        <is>
          <t>주차</t>
        </is>
      </c>
      <c r="C114" s="5" t="n"/>
      <c r="D114" s="6" t="inlineStr">
        <is>
          <t>← 1~5</t>
        </is>
      </c>
    </row>
    <row r="115">
      <c r="B115" s="4" t="inlineStr">
        <is>
          <t>시작일</t>
        </is>
      </c>
      <c r="C115" s="7" t="n"/>
    </row>
    <row r="116">
      <c r="B116" s="4" t="inlineStr">
        <is>
          <t>종료일</t>
        </is>
      </c>
      <c r="C116" s="7" t="n"/>
    </row>
    <row r="117">
      <c r="B117" s="8" t="inlineStr">
        <is>
          <t>■ 매출</t>
        </is>
      </c>
      <c r="C117" s="9" t="n"/>
      <c r="D117" s="9" t="n"/>
    </row>
    <row r="118">
      <c r="B118" s="10" t="inlineStr">
        <is>
          <t>카드매출</t>
        </is>
      </c>
      <c r="C118" s="11" t="n"/>
      <c r="D118" s="6" t="inlineStr">
        <is>
          <t>원</t>
        </is>
      </c>
    </row>
    <row r="119">
      <c r="B119" s="10" t="inlineStr">
        <is>
          <t>현금매출</t>
        </is>
      </c>
      <c r="C119" s="11" t="n"/>
      <c r="D119" s="6" t="inlineStr">
        <is>
          <t>원</t>
        </is>
      </c>
    </row>
    <row r="120">
      <c r="B120" s="8" t="inlineStr">
        <is>
          <t>■ 공과금  (3주차에 지난달분 입력)</t>
        </is>
      </c>
      <c r="C120" s="9" t="n"/>
      <c r="D120" s="9" t="n"/>
    </row>
    <row r="121">
      <c r="B121" s="10" t="inlineStr">
        <is>
          <t>전기요금</t>
        </is>
      </c>
      <c r="C121" s="11" t="n"/>
      <c r="D121" s="6" t="inlineStr">
        <is>
          <t>원 (고지서 그대로)</t>
        </is>
      </c>
    </row>
    <row r="122">
      <c r="B122" s="10" t="inlineStr">
        <is>
          <t>가스요금</t>
        </is>
      </c>
      <c r="C122" s="11" t="n"/>
    </row>
    <row r="123">
      <c r="B123" s="10" t="inlineStr">
        <is>
          <t>수도요금</t>
        </is>
      </c>
      <c r="C123" s="11" t="n"/>
    </row>
    <row r="124">
      <c r="B124" s="8" t="inlineStr">
        <is>
          <t>■ 기타  (발생할 때만)</t>
        </is>
      </c>
      <c r="C124" s="9" t="n"/>
      <c r="D124" s="9" t="n"/>
    </row>
    <row r="125">
      <c r="B125" s="10" t="inlineStr">
        <is>
          <t>정화조 청소</t>
        </is>
      </c>
      <c r="C125" s="11" t="n"/>
    </row>
    <row r="126">
      <c r="B126" s="10" t="inlineStr">
        <is>
          <t>회식 연계매출</t>
        </is>
      </c>
      <c r="C126" s="11" t="n"/>
      <c r="D126" s="6" t="inlineStr">
        <is>
          <t>원 (재생전골 등)</t>
        </is>
      </c>
    </row>
    <row r="127">
      <c r="B127" s="10" t="inlineStr">
        <is>
          <t>기타비용</t>
        </is>
      </c>
      <c r="C127" s="11" t="n"/>
    </row>
    <row r="128">
      <c r="B128" s="10" t="inlineStr">
        <is>
          <t>비고</t>
        </is>
      </c>
      <c r="C128" s="7" t="n"/>
    </row>
    <row r="129">
      <c r="A129" s="12" t="n"/>
      <c r="B129" s="12" t="n"/>
      <c r="C129" s="12" t="n"/>
      <c r="D129" s="12" t="n"/>
      <c r="E129" s="12" t="n"/>
    </row>
    <row r="130">
      <c r="B130" s="3" t="inlineStr">
        <is>
          <t>📋 주간 정산 입력  #8</t>
        </is>
      </c>
    </row>
    <row r="131">
      <c r="B131" s="4" t="inlineStr">
        <is>
          <t>월</t>
        </is>
      </c>
      <c r="C131" s="5" t="n"/>
      <c r="D131" s="6" t="inlineStr">
        <is>
          <t>← 1~12</t>
        </is>
      </c>
    </row>
    <row r="132">
      <c r="B132" s="4" t="inlineStr">
        <is>
          <t>주차</t>
        </is>
      </c>
      <c r="C132" s="5" t="n"/>
      <c r="D132" s="6" t="inlineStr">
        <is>
          <t>← 1~5</t>
        </is>
      </c>
    </row>
    <row r="133">
      <c r="B133" s="4" t="inlineStr">
        <is>
          <t>시작일</t>
        </is>
      </c>
      <c r="C133" s="7" t="n"/>
    </row>
    <row r="134">
      <c r="B134" s="4" t="inlineStr">
        <is>
          <t>종료일</t>
        </is>
      </c>
      <c r="C134" s="7" t="n"/>
    </row>
    <row r="135">
      <c r="B135" s="8" t="inlineStr">
        <is>
          <t>■ 매출</t>
        </is>
      </c>
      <c r="C135" s="9" t="n"/>
      <c r="D135" s="9" t="n"/>
    </row>
    <row r="136">
      <c r="B136" s="10" t="inlineStr">
        <is>
          <t>카드매출</t>
        </is>
      </c>
      <c r="C136" s="11" t="n"/>
      <c r="D136" s="6" t="inlineStr">
        <is>
          <t>원</t>
        </is>
      </c>
    </row>
    <row r="137">
      <c r="B137" s="10" t="inlineStr">
        <is>
          <t>현금매출</t>
        </is>
      </c>
      <c r="C137" s="11" t="n"/>
      <c r="D137" s="6" t="inlineStr">
        <is>
          <t>원</t>
        </is>
      </c>
    </row>
    <row r="138">
      <c r="B138" s="8" t="inlineStr">
        <is>
          <t>■ 공과금  (3주차에 지난달분 입력)</t>
        </is>
      </c>
      <c r="C138" s="9" t="n"/>
      <c r="D138" s="9" t="n"/>
    </row>
    <row r="139">
      <c r="B139" s="10" t="inlineStr">
        <is>
          <t>전기요금</t>
        </is>
      </c>
      <c r="C139" s="11" t="n"/>
      <c r="D139" s="6" t="inlineStr">
        <is>
          <t>원 (고지서 그대로)</t>
        </is>
      </c>
    </row>
    <row r="140">
      <c r="B140" s="10" t="inlineStr">
        <is>
          <t>가스요금</t>
        </is>
      </c>
      <c r="C140" s="11" t="n"/>
    </row>
    <row r="141">
      <c r="B141" s="10" t="inlineStr">
        <is>
          <t>수도요금</t>
        </is>
      </c>
      <c r="C141" s="11" t="n"/>
    </row>
    <row r="142">
      <c r="B142" s="8" t="inlineStr">
        <is>
          <t>■ 기타  (발생할 때만)</t>
        </is>
      </c>
      <c r="C142" s="9" t="n"/>
      <c r="D142" s="9" t="n"/>
    </row>
    <row r="143">
      <c r="B143" s="10" t="inlineStr">
        <is>
          <t>정화조 청소</t>
        </is>
      </c>
      <c r="C143" s="11" t="n"/>
    </row>
    <row r="144">
      <c r="B144" s="10" t="inlineStr">
        <is>
          <t>회식 연계매출</t>
        </is>
      </c>
      <c r="C144" s="11" t="n"/>
      <c r="D144" s="6" t="inlineStr">
        <is>
          <t>원 (재생전골 등)</t>
        </is>
      </c>
    </row>
    <row r="145">
      <c r="B145" s="10" t="inlineStr">
        <is>
          <t>기타비용</t>
        </is>
      </c>
      <c r="C145" s="11" t="n"/>
    </row>
    <row r="146">
      <c r="B146" s="10" t="inlineStr">
        <is>
          <t>비고</t>
        </is>
      </c>
      <c r="C146" s="7" t="n"/>
    </row>
    <row r="147">
      <c r="A147" s="12" t="n"/>
      <c r="B147" s="12" t="n"/>
      <c r="C147" s="12" t="n"/>
      <c r="D147" s="12" t="n"/>
      <c r="E147" s="12" t="n"/>
    </row>
    <row r="148">
      <c r="B148" s="3" t="inlineStr">
        <is>
          <t>📋 주간 정산 입력  #9</t>
        </is>
      </c>
    </row>
    <row r="149">
      <c r="B149" s="4" t="inlineStr">
        <is>
          <t>월</t>
        </is>
      </c>
      <c r="C149" s="5" t="n"/>
      <c r="D149" s="6" t="inlineStr">
        <is>
          <t>← 1~12</t>
        </is>
      </c>
    </row>
    <row r="150">
      <c r="B150" s="4" t="inlineStr">
        <is>
          <t>주차</t>
        </is>
      </c>
      <c r="C150" s="5" t="n"/>
      <c r="D150" s="6" t="inlineStr">
        <is>
          <t>← 1~5</t>
        </is>
      </c>
    </row>
    <row r="151">
      <c r="B151" s="4" t="inlineStr">
        <is>
          <t>시작일</t>
        </is>
      </c>
      <c r="C151" s="7" t="n"/>
    </row>
    <row r="152">
      <c r="B152" s="4" t="inlineStr">
        <is>
          <t>종료일</t>
        </is>
      </c>
      <c r="C152" s="7" t="n"/>
    </row>
    <row r="153">
      <c r="B153" s="8" t="inlineStr">
        <is>
          <t>■ 매출</t>
        </is>
      </c>
      <c r="C153" s="9" t="n"/>
      <c r="D153" s="9" t="n"/>
    </row>
    <row r="154">
      <c r="B154" s="10" t="inlineStr">
        <is>
          <t>카드매출</t>
        </is>
      </c>
      <c r="C154" s="11" t="n"/>
      <c r="D154" s="6" t="inlineStr">
        <is>
          <t>원</t>
        </is>
      </c>
    </row>
    <row r="155">
      <c r="B155" s="10" t="inlineStr">
        <is>
          <t>현금매출</t>
        </is>
      </c>
      <c r="C155" s="11" t="n"/>
      <c r="D155" s="6" t="inlineStr">
        <is>
          <t>원</t>
        </is>
      </c>
    </row>
    <row r="156">
      <c r="B156" s="8" t="inlineStr">
        <is>
          <t>■ 공과금  (3주차에 지난달분 입력)</t>
        </is>
      </c>
      <c r="C156" s="9" t="n"/>
      <c r="D156" s="9" t="n"/>
    </row>
    <row r="157">
      <c r="B157" s="10" t="inlineStr">
        <is>
          <t>전기요금</t>
        </is>
      </c>
      <c r="C157" s="11" t="n"/>
      <c r="D157" s="6" t="inlineStr">
        <is>
          <t>원 (고지서 그대로)</t>
        </is>
      </c>
    </row>
    <row r="158">
      <c r="B158" s="10" t="inlineStr">
        <is>
          <t>가스요금</t>
        </is>
      </c>
      <c r="C158" s="11" t="n"/>
    </row>
    <row r="159">
      <c r="B159" s="10" t="inlineStr">
        <is>
          <t>수도요금</t>
        </is>
      </c>
      <c r="C159" s="11" t="n"/>
    </row>
    <row r="160">
      <c r="B160" s="8" t="inlineStr">
        <is>
          <t>■ 기타  (발생할 때만)</t>
        </is>
      </c>
      <c r="C160" s="9" t="n"/>
      <c r="D160" s="9" t="n"/>
    </row>
    <row r="161">
      <c r="B161" s="10" t="inlineStr">
        <is>
          <t>정화조 청소</t>
        </is>
      </c>
      <c r="C161" s="11" t="n"/>
    </row>
    <row r="162">
      <c r="B162" s="10" t="inlineStr">
        <is>
          <t>회식 연계매출</t>
        </is>
      </c>
      <c r="C162" s="11" t="n"/>
      <c r="D162" s="6" t="inlineStr">
        <is>
          <t>원 (재생전골 등)</t>
        </is>
      </c>
    </row>
    <row r="163">
      <c r="B163" s="10" t="inlineStr">
        <is>
          <t>기타비용</t>
        </is>
      </c>
      <c r="C163" s="11" t="n"/>
    </row>
    <row r="164">
      <c r="B164" s="10" t="inlineStr">
        <is>
          <t>비고</t>
        </is>
      </c>
      <c r="C164" s="7" t="n"/>
    </row>
    <row r="165">
      <c r="A165" s="12" t="n"/>
      <c r="B165" s="12" t="n"/>
      <c r="C165" s="12" t="n"/>
      <c r="D165" s="12" t="n"/>
      <c r="E165" s="12" t="n"/>
    </row>
    <row r="166">
      <c r="B166" s="3" t="inlineStr">
        <is>
          <t>📋 주간 정산 입력  #10</t>
        </is>
      </c>
    </row>
    <row r="167">
      <c r="B167" s="4" t="inlineStr">
        <is>
          <t>월</t>
        </is>
      </c>
      <c r="C167" s="5" t="n"/>
      <c r="D167" s="6" t="inlineStr">
        <is>
          <t>← 1~12</t>
        </is>
      </c>
    </row>
    <row r="168">
      <c r="B168" s="4" t="inlineStr">
        <is>
          <t>주차</t>
        </is>
      </c>
      <c r="C168" s="5" t="n"/>
      <c r="D168" s="6" t="inlineStr">
        <is>
          <t>← 1~5</t>
        </is>
      </c>
    </row>
    <row r="169">
      <c r="B169" s="4" t="inlineStr">
        <is>
          <t>시작일</t>
        </is>
      </c>
      <c r="C169" s="7" t="n"/>
    </row>
    <row r="170">
      <c r="B170" s="4" t="inlineStr">
        <is>
          <t>종료일</t>
        </is>
      </c>
      <c r="C170" s="7" t="n"/>
    </row>
    <row r="171">
      <c r="B171" s="8" t="inlineStr">
        <is>
          <t>■ 매출</t>
        </is>
      </c>
      <c r="C171" s="9" t="n"/>
      <c r="D171" s="9" t="n"/>
    </row>
    <row r="172">
      <c r="B172" s="10" t="inlineStr">
        <is>
          <t>카드매출</t>
        </is>
      </c>
      <c r="C172" s="11" t="n"/>
      <c r="D172" s="6" t="inlineStr">
        <is>
          <t>원</t>
        </is>
      </c>
    </row>
    <row r="173">
      <c r="B173" s="10" t="inlineStr">
        <is>
          <t>현금매출</t>
        </is>
      </c>
      <c r="C173" s="11" t="n"/>
      <c r="D173" s="6" t="inlineStr">
        <is>
          <t>원</t>
        </is>
      </c>
    </row>
    <row r="174">
      <c r="B174" s="8" t="inlineStr">
        <is>
          <t>■ 공과금  (3주차에 지난달분 입력)</t>
        </is>
      </c>
      <c r="C174" s="9" t="n"/>
      <c r="D174" s="9" t="n"/>
    </row>
    <row r="175">
      <c r="B175" s="10" t="inlineStr">
        <is>
          <t>전기요금</t>
        </is>
      </c>
      <c r="C175" s="11" t="n"/>
      <c r="D175" s="6" t="inlineStr">
        <is>
          <t>원 (고지서 그대로)</t>
        </is>
      </c>
    </row>
    <row r="176">
      <c r="B176" s="10" t="inlineStr">
        <is>
          <t>가스요금</t>
        </is>
      </c>
      <c r="C176" s="11" t="n"/>
    </row>
    <row r="177">
      <c r="B177" s="10" t="inlineStr">
        <is>
          <t>수도요금</t>
        </is>
      </c>
      <c r="C177" s="11" t="n"/>
    </row>
    <row r="178">
      <c r="B178" s="8" t="inlineStr">
        <is>
          <t>■ 기타  (발생할 때만)</t>
        </is>
      </c>
      <c r="C178" s="9" t="n"/>
      <c r="D178" s="9" t="n"/>
    </row>
    <row r="179">
      <c r="B179" s="10" t="inlineStr">
        <is>
          <t>정화조 청소</t>
        </is>
      </c>
      <c r="C179" s="11" t="n"/>
    </row>
    <row r="180">
      <c r="B180" s="10" t="inlineStr">
        <is>
          <t>회식 연계매출</t>
        </is>
      </c>
      <c r="C180" s="11" t="n"/>
      <c r="D180" s="6" t="inlineStr">
        <is>
          <t>원 (재생전골 등)</t>
        </is>
      </c>
    </row>
    <row r="181">
      <c r="B181" s="10" t="inlineStr">
        <is>
          <t>기타비용</t>
        </is>
      </c>
      <c r="C181" s="11" t="n"/>
    </row>
    <row r="182">
      <c r="B182" s="10" t="inlineStr">
        <is>
          <t>비고</t>
        </is>
      </c>
      <c r="C182" s="7" t="n"/>
    </row>
    <row r="183">
      <c r="A183" s="12" t="n"/>
      <c r="B183" s="12" t="n"/>
      <c r="C183" s="12" t="n"/>
      <c r="D183" s="12" t="n"/>
      <c r="E183" s="12" t="n"/>
    </row>
    <row r="184">
      <c r="B184" s="3" t="inlineStr">
        <is>
          <t>📋 주간 정산 입력  #11</t>
        </is>
      </c>
    </row>
    <row r="185">
      <c r="B185" s="4" t="inlineStr">
        <is>
          <t>월</t>
        </is>
      </c>
      <c r="C185" s="5" t="n"/>
      <c r="D185" s="6" t="inlineStr">
        <is>
          <t>← 1~12</t>
        </is>
      </c>
    </row>
    <row r="186">
      <c r="B186" s="4" t="inlineStr">
        <is>
          <t>주차</t>
        </is>
      </c>
      <c r="C186" s="5" t="n"/>
      <c r="D186" s="6" t="inlineStr">
        <is>
          <t>← 1~5</t>
        </is>
      </c>
    </row>
    <row r="187">
      <c r="B187" s="4" t="inlineStr">
        <is>
          <t>시작일</t>
        </is>
      </c>
      <c r="C187" s="7" t="n"/>
    </row>
    <row r="188">
      <c r="B188" s="4" t="inlineStr">
        <is>
          <t>종료일</t>
        </is>
      </c>
      <c r="C188" s="7" t="n"/>
    </row>
    <row r="189">
      <c r="B189" s="8" t="inlineStr">
        <is>
          <t>■ 매출</t>
        </is>
      </c>
      <c r="C189" s="9" t="n"/>
      <c r="D189" s="9" t="n"/>
    </row>
    <row r="190">
      <c r="B190" s="10" t="inlineStr">
        <is>
          <t>카드매출</t>
        </is>
      </c>
      <c r="C190" s="11" t="n"/>
      <c r="D190" s="6" t="inlineStr">
        <is>
          <t>원</t>
        </is>
      </c>
    </row>
    <row r="191">
      <c r="B191" s="10" t="inlineStr">
        <is>
          <t>현금매출</t>
        </is>
      </c>
      <c r="C191" s="11" t="n"/>
      <c r="D191" s="6" t="inlineStr">
        <is>
          <t>원</t>
        </is>
      </c>
    </row>
    <row r="192">
      <c r="B192" s="8" t="inlineStr">
        <is>
          <t>■ 공과금  (3주차에 지난달분 입력)</t>
        </is>
      </c>
      <c r="C192" s="9" t="n"/>
      <c r="D192" s="9" t="n"/>
    </row>
    <row r="193">
      <c r="B193" s="10" t="inlineStr">
        <is>
          <t>전기요금</t>
        </is>
      </c>
      <c r="C193" s="11" t="n"/>
      <c r="D193" s="6" t="inlineStr">
        <is>
          <t>원 (고지서 그대로)</t>
        </is>
      </c>
    </row>
    <row r="194">
      <c r="B194" s="10" t="inlineStr">
        <is>
          <t>가스요금</t>
        </is>
      </c>
      <c r="C194" s="11" t="n"/>
    </row>
    <row r="195">
      <c r="B195" s="10" t="inlineStr">
        <is>
          <t>수도요금</t>
        </is>
      </c>
      <c r="C195" s="11" t="n"/>
    </row>
    <row r="196">
      <c r="B196" s="8" t="inlineStr">
        <is>
          <t>■ 기타  (발생할 때만)</t>
        </is>
      </c>
      <c r="C196" s="9" t="n"/>
      <c r="D196" s="9" t="n"/>
    </row>
    <row r="197">
      <c r="B197" s="10" t="inlineStr">
        <is>
          <t>정화조 청소</t>
        </is>
      </c>
      <c r="C197" s="11" t="n"/>
    </row>
    <row r="198">
      <c r="B198" s="10" t="inlineStr">
        <is>
          <t>회식 연계매출</t>
        </is>
      </c>
      <c r="C198" s="11" t="n"/>
      <c r="D198" s="6" t="inlineStr">
        <is>
          <t>원 (재생전골 등)</t>
        </is>
      </c>
    </row>
    <row r="199">
      <c r="B199" s="10" t="inlineStr">
        <is>
          <t>기타비용</t>
        </is>
      </c>
      <c r="C199" s="11" t="n"/>
    </row>
    <row r="200">
      <c r="B200" s="10" t="inlineStr">
        <is>
          <t>비고</t>
        </is>
      </c>
      <c r="C200" s="7" t="n"/>
    </row>
    <row r="201">
      <c r="A201" s="12" t="n"/>
      <c r="B201" s="12" t="n"/>
      <c r="C201" s="12" t="n"/>
      <c r="D201" s="12" t="n"/>
      <c r="E201" s="12" t="n"/>
    </row>
    <row r="202">
      <c r="B202" s="3" t="inlineStr">
        <is>
          <t>📋 주간 정산 입력  #12</t>
        </is>
      </c>
    </row>
    <row r="203">
      <c r="B203" s="4" t="inlineStr">
        <is>
          <t>월</t>
        </is>
      </c>
      <c r="C203" s="5" t="n"/>
      <c r="D203" s="6" t="inlineStr">
        <is>
          <t>← 1~12</t>
        </is>
      </c>
    </row>
    <row r="204">
      <c r="B204" s="4" t="inlineStr">
        <is>
          <t>주차</t>
        </is>
      </c>
      <c r="C204" s="5" t="n"/>
      <c r="D204" s="6" t="inlineStr">
        <is>
          <t>← 1~5</t>
        </is>
      </c>
    </row>
    <row r="205">
      <c r="B205" s="4" t="inlineStr">
        <is>
          <t>시작일</t>
        </is>
      </c>
      <c r="C205" s="7" t="n"/>
    </row>
    <row r="206">
      <c r="B206" s="4" t="inlineStr">
        <is>
          <t>종료일</t>
        </is>
      </c>
      <c r="C206" s="7" t="n"/>
    </row>
    <row r="207">
      <c r="B207" s="8" t="inlineStr">
        <is>
          <t>■ 매출</t>
        </is>
      </c>
      <c r="C207" s="9" t="n"/>
      <c r="D207" s="9" t="n"/>
    </row>
    <row r="208">
      <c r="B208" s="10" t="inlineStr">
        <is>
          <t>카드매출</t>
        </is>
      </c>
      <c r="C208" s="11" t="n"/>
      <c r="D208" s="6" t="inlineStr">
        <is>
          <t>원</t>
        </is>
      </c>
    </row>
    <row r="209">
      <c r="B209" s="10" t="inlineStr">
        <is>
          <t>현금매출</t>
        </is>
      </c>
      <c r="C209" s="11" t="n"/>
      <c r="D209" s="6" t="inlineStr">
        <is>
          <t>원</t>
        </is>
      </c>
    </row>
    <row r="210">
      <c r="B210" s="8" t="inlineStr">
        <is>
          <t>■ 공과금  (3주차에 지난달분 입력)</t>
        </is>
      </c>
      <c r="C210" s="9" t="n"/>
      <c r="D210" s="9" t="n"/>
    </row>
    <row r="211">
      <c r="B211" s="10" t="inlineStr">
        <is>
          <t>전기요금</t>
        </is>
      </c>
      <c r="C211" s="11" t="n"/>
      <c r="D211" s="6" t="inlineStr">
        <is>
          <t>원 (고지서 그대로)</t>
        </is>
      </c>
    </row>
    <row r="212">
      <c r="B212" s="10" t="inlineStr">
        <is>
          <t>가스요금</t>
        </is>
      </c>
      <c r="C212" s="11" t="n"/>
    </row>
    <row r="213">
      <c r="B213" s="10" t="inlineStr">
        <is>
          <t>수도요금</t>
        </is>
      </c>
      <c r="C213" s="11" t="n"/>
    </row>
    <row r="214">
      <c r="B214" s="8" t="inlineStr">
        <is>
          <t>■ 기타  (발생할 때만)</t>
        </is>
      </c>
      <c r="C214" s="9" t="n"/>
      <c r="D214" s="9" t="n"/>
    </row>
    <row r="215">
      <c r="B215" s="10" t="inlineStr">
        <is>
          <t>정화조 청소</t>
        </is>
      </c>
      <c r="C215" s="11" t="n"/>
    </row>
    <row r="216">
      <c r="B216" s="10" t="inlineStr">
        <is>
          <t>회식 연계매출</t>
        </is>
      </c>
      <c r="C216" s="11" t="n"/>
      <c r="D216" s="6" t="inlineStr">
        <is>
          <t>원 (재생전골 등)</t>
        </is>
      </c>
    </row>
    <row r="217">
      <c r="B217" s="10" t="inlineStr">
        <is>
          <t>기타비용</t>
        </is>
      </c>
      <c r="C217" s="11" t="n"/>
    </row>
    <row r="218">
      <c r="B218" s="10" t="inlineStr">
        <is>
          <t>비고</t>
        </is>
      </c>
      <c r="C218" s="7" t="n"/>
    </row>
    <row r="219">
      <c r="A219" s="12" t="n"/>
      <c r="B219" s="12" t="n"/>
      <c r="C219" s="12" t="n"/>
      <c r="D219" s="12" t="n"/>
      <c r="E219" s="12" t="n"/>
    </row>
    <row r="220">
      <c r="B220" s="3" t="inlineStr">
        <is>
          <t>📋 주간 정산 입력  #13</t>
        </is>
      </c>
    </row>
    <row r="221">
      <c r="B221" s="4" t="inlineStr">
        <is>
          <t>월</t>
        </is>
      </c>
      <c r="C221" s="5" t="n"/>
      <c r="D221" s="6" t="inlineStr">
        <is>
          <t>← 1~12</t>
        </is>
      </c>
    </row>
    <row r="222">
      <c r="B222" s="4" t="inlineStr">
        <is>
          <t>주차</t>
        </is>
      </c>
      <c r="C222" s="5" t="n"/>
      <c r="D222" s="6" t="inlineStr">
        <is>
          <t>← 1~5</t>
        </is>
      </c>
    </row>
    <row r="223">
      <c r="B223" s="4" t="inlineStr">
        <is>
          <t>시작일</t>
        </is>
      </c>
      <c r="C223" s="7" t="n"/>
    </row>
    <row r="224">
      <c r="B224" s="4" t="inlineStr">
        <is>
          <t>종료일</t>
        </is>
      </c>
      <c r="C224" s="7" t="n"/>
    </row>
    <row r="225">
      <c r="B225" s="8" t="inlineStr">
        <is>
          <t>■ 매출</t>
        </is>
      </c>
      <c r="C225" s="9" t="n"/>
      <c r="D225" s="9" t="n"/>
    </row>
    <row r="226">
      <c r="B226" s="10" t="inlineStr">
        <is>
          <t>카드매출</t>
        </is>
      </c>
      <c r="C226" s="11" t="n"/>
      <c r="D226" s="6" t="inlineStr">
        <is>
          <t>원</t>
        </is>
      </c>
    </row>
    <row r="227">
      <c r="B227" s="10" t="inlineStr">
        <is>
          <t>현금매출</t>
        </is>
      </c>
      <c r="C227" s="11" t="n"/>
      <c r="D227" s="6" t="inlineStr">
        <is>
          <t>원</t>
        </is>
      </c>
    </row>
    <row r="228">
      <c r="B228" s="8" t="inlineStr">
        <is>
          <t>■ 공과금  (3주차에 지난달분 입력)</t>
        </is>
      </c>
      <c r="C228" s="9" t="n"/>
      <c r="D228" s="9" t="n"/>
    </row>
    <row r="229">
      <c r="B229" s="10" t="inlineStr">
        <is>
          <t>전기요금</t>
        </is>
      </c>
      <c r="C229" s="11" t="n"/>
      <c r="D229" s="6" t="inlineStr">
        <is>
          <t>원 (고지서 그대로)</t>
        </is>
      </c>
    </row>
    <row r="230">
      <c r="B230" s="10" t="inlineStr">
        <is>
          <t>가스요금</t>
        </is>
      </c>
      <c r="C230" s="11" t="n"/>
    </row>
    <row r="231">
      <c r="B231" s="10" t="inlineStr">
        <is>
          <t>수도요금</t>
        </is>
      </c>
      <c r="C231" s="11" t="n"/>
    </row>
    <row r="232">
      <c r="B232" s="8" t="inlineStr">
        <is>
          <t>■ 기타  (발생할 때만)</t>
        </is>
      </c>
      <c r="C232" s="9" t="n"/>
      <c r="D232" s="9" t="n"/>
    </row>
    <row r="233">
      <c r="B233" s="10" t="inlineStr">
        <is>
          <t>정화조 청소</t>
        </is>
      </c>
      <c r="C233" s="11" t="n"/>
    </row>
    <row r="234">
      <c r="B234" s="10" t="inlineStr">
        <is>
          <t>회식 연계매출</t>
        </is>
      </c>
      <c r="C234" s="11" t="n"/>
      <c r="D234" s="6" t="inlineStr">
        <is>
          <t>원 (재생전골 등)</t>
        </is>
      </c>
    </row>
    <row r="235">
      <c r="B235" s="10" t="inlineStr">
        <is>
          <t>기타비용</t>
        </is>
      </c>
      <c r="C235" s="11" t="n"/>
    </row>
    <row r="236">
      <c r="B236" s="10" t="inlineStr">
        <is>
          <t>비고</t>
        </is>
      </c>
      <c r="C236" s="7" t="n"/>
    </row>
    <row r="237">
      <c r="A237" s="12" t="n"/>
      <c r="B237" s="12" t="n"/>
      <c r="C237" s="12" t="n"/>
      <c r="D237" s="12" t="n"/>
      <c r="E237" s="12" t="n"/>
    </row>
    <row r="238">
      <c r="B238" s="3" t="inlineStr">
        <is>
          <t>📋 주간 정산 입력  #14</t>
        </is>
      </c>
    </row>
    <row r="239">
      <c r="B239" s="4" t="inlineStr">
        <is>
          <t>월</t>
        </is>
      </c>
      <c r="C239" s="5" t="n"/>
      <c r="D239" s="6" t="inlineStr">
        <is>
          <t>← 1~12</t>
        </is>
      </c>
    </row>
    <row r="240">
      <c r="B240" s="4" t="inlineStr">
        <is>
          <t>주차</t>
        </is>
      </c>
      <c r="C240" s="5" t="n"/>
      <c r="D240" s="6" t="inlineStr">
        <is>
          <t>← 1~5</t>
        </is>
      </c>
    </row>
    <row r="241">
      <c r="B241" s="4" t="inlineStr">
        <is>
          <t>시작일</t>
        </is>
      </c>
      <c r="C241" s="7" t="n"/>
    </row>
    <row r="242">
      <c r="B242" s="4" t="inlineStr">
        <is>
          <t>종료일</t>
        </is>
      </c>
      <c r="C242" s="7" t="n"/>
    </row>
    <row r="243">
      <c r="B243" s="8" t="inlineStr">
        <is>
          <t>■ 매출</t>
        </is>
      </c>
      <c r="C243" s="9" t="n"/>
      <c r="D243" s="9" t="n"/>
    </row>
    <row r="244">
      <c r="B244" s="10" t="inlineStr">
        <is>
          <t>카드매출</t>
        </is>
      </c>
      <c r="C244" s="11" t="n"/>
      <c r="D244" s="6" t="inlineStr">
        <is>
          <t>원</t>
        </is>
      </c>
    </row>
    <row r="245">
      <c r="B245" s="10" t="inlineStr">
        <is>
          <t>현금매출</t>
        </is>
      </c>
      <c r="C245" s="11" t="n"/>
      <c r="D245" s="6" t="inlineStr">
        <is>
          <t>원</t>
        </is>
      </c>
    </row>
    <row r="246">
      <c r="B246" s="8" t="inlineStr">
        <is>
          <t>■ 공과금  (3주차에 지난달분 입력)</t>
        </is>
      </c>
      <c r="C246" s="9" t="n"/>
      <c r="D246" s="9" t="n"/>
    </row>
    <row r="247">
      <c r="B247" s="10" t="inlineStr">
        <is>
          <t>전기요금</t>
        </is>
      </c>
      <c r="C247" s="11" t="n"/>
      <c r="D247" s="6" t="inlineStr">
        <is>
          <t>원 (고지서 그대로)</t>
        </is>
      </c>
    </row>
    <row r="248">
      <c r="B248" s="10" t="inlineStr">
        <is>
          <t>가스요금</t>
        </is>
      </c>
      <c r="C248" s="11" t="n"/>
    </row>
    <row r="249">
      <c r="B249" s="10" t="inlineStr">
        <is>
          <t>수도요금</t>
        </is>
      </c>
      <c r="C249" s="11" t="n"/>
    </row>
    <row r="250">
      <c r="B250" s="8" t="inlineStr">
        <is>
          <t>■ 기타  (발생할 때만)</t>
        </is>
      </c>
      <c r="C250" s="9" t="n"/>
      <c r="D250" s="9" t="n"/>
    </row>
    <row r="251">
      <c r="B251" s="10" t="inlineStr">
        <is>
          <t>정화조 청소</t>
        </is>
      </c>
      <c r="C251" s="11" t="n"/>
    </row>
    <row r="252">
      <c r="B252" s="10" t="inlineStr">
        <is>
          <t>회식 연계매출</t>
        </is>
      </c>
      <c r="C252" s="11" t="n"/>
      <c r="D252" s="6" t="inlineStr">
        <is>
          <t>원 (재생전골 등)</t>
        </is>
      </c>
    </row>
    <row r="253">
      <c r="B253" s="10" t="inlineStr">
        <is>
          <t>기타비용</t>
        </is>
      </c>
      <c r="C253" s="11" t="n"/>
    </row>
    <row r="254">
      <c r="B254" s="10" t="inlineStr">
        <is>
          <t>비고</t>
        </is>
      </c>
      <c r="C254" s="7" t="n"/>
    </row>
    <row r="255">
      <c r="A255" s="12" t="n"/>
      <c r="B255" s="12" t="n"/>
      <c r="C255" s="12" t="n"/>
      <c r="D255" s="12" t="n"/>
      <c r="E255" s="12" t="n"/>
    </row>
    <row r="256">
      <c r="B256" s="3" t="inlineStr">
        <is>
          <t>📋 주간 정산 입력  #15</t>
        </is>
      </c>
    </row>
    <row r="257">
      <c r="B257" s="4" t="inlineStr">
        <is>
          <t>월</t>
        </is>
      </c>
      <c r="C257" s="5" t="n"/>
      <c r="D257" s="6" t="inlineStr">
        <is>
          <t>← 1~12</t>
        </is>
      </c>
    </row>
    <row r="258">
      <c r="B258" s="4" t="inlineStr">
        <is>
          <t>주차</t>
        </is>
      </c>
      <c r="C258" s="5" t="n"/>
      <c r="D258" s="6" t="inlineStr">
        <is>
          <t>← 1~5</t>
        </is>
      </c>
    </row>
    <row r="259">
      <c r="B259" s="4" t="inlineStr">
        <is>
          <t>시작일</t>
        </is>
      </c>
      <c r="C259" s="7" t="n"/>
    </row>
    <row r="260">
      <c r="B260" s="4" t="inlineStr">
        <is>
          <t>종료일</t>
        </is>
      </c>
      <c r="C260" s="7" t="n"/>
    </row>
    <row r="261">
      <c r="B261" s="8" t="inlineStr">
        <is>
          <t>■ 매출</t>
        </is>
      </c>
      <c r="C261" s="9" t="n"/>
      <c r="D261" s="9" t="n"/>
    </row>
    <row r="262">
      <c r="B262" s="10" t="inlineStr">
        <is>
          <t>카드매출</t>
        </is>
      </c>
      <c r="C262" s="11" t="n"/>
      <c r="D262" s="6" t="inlineStr">
        <is>
          <t>원</t>
        </is>
      </c>
    </row>
    <row r="263">
      <c r="B263" s="10" t="inlineStr">
        <is>
          <t>현금매출</t>
        </is>
      </c>
      <c r="C263" s="11" t="n"/>
      <c r="D263" s="6" t="inlineStr">
        <is>
          <t>원</t>
        </is>
      </c>
    </row>
    <row r="264">
      <c r="B264" s="8" t="inlineStr">
        <is>
          <t>■ 공과금  (3주차에 지난달분 입력)</t>
        </is>
      </c>
      <c r="C264" s="9" t="n"/>
      <c r="D264" s="9" t="n"/>
    </row>
    <row r="265">
      <c r="B265" s="10" t="inlineStr">
        <is>
          <t>전기요금</t>
        </is>
      </c>
      <c r="C265" s="11" t="n"/>
      <c r="D265" s="6" t="inlineStr">
        <is>
          <t>원 (고지서 그대로)</t>
        </is>
      </c>
    </row>
    <row r="266">
      <c r="B266" s="10" t="inlineStr">
        <is>
          <t>가스요금</t>
        </is>
      </c>
      <c r="C266" s="11" t="n"/>
    </row>
    <row r="267">
      <c r="B267" s="10" t="inlineStr">
        <is>
          <t>수도요금</t>
        </is>
      </c>
      <c r="C267" s="11" t="n"/>
    </row>
    <row r="268">
      <c r="B268" s="8" t="inlineStr">
        <is>
          <t>■ 기타  (발생할 때만)</t>
        </is>
      </c>
      <c r="C268" s="9" t="n"/>
      <c r="D268" s="9" t="n"/>
    </row>
    <row r="269">
      <c r="B269" s="10" t="inlineStr">
        <is>
          <t>정화조 청소</t>
        </is>
      </c>
      <c r="C269" s="11" t="n"/>
    </row>
    <row r="270">
      <c r="B270" s="10" t="inlineStr">
        <is>
          <t>회식 연계매출</t>
        </is>
      </c>
      <c r="C270" s="11" t="n"/>
      <c r="D270" s="6" t="inlineStr">
        <is>
          <t>원 (재생전골 등)</t>
        </is>
      </c>
    </row>
    <row r="271">
      <c r="B271" s="10" t="inlineStr">
        <is>
          <t>기타비용</t>
        </is>
      </c>
      <c r="C271" s="11" t="n"/>
    </row>
    <row r="272">
      <c r="B272" s="10" t="inlineStr">
        <is>
          <t>비고</t>
        </is>
      </c>
      <c r="C272" s="7" t="n"/>
    </row>
    <row r="273">
      <c r="A273" s="12" t="n"/>
      <c r="B273" s="12" t="n"/>
      <c r="C273" s="12" t="n"/>
      <c r="D273" s="12" t="n"/>
      <c r="E273" s="12" t="n"/>
    </row>
    <row r="274">
      <c r="B274" s="3" t="inlineStr">
        <is>
          <t>📋 주간 정산 입력  #16</t>
        </is>
      </c>
    </row>
    <row r="275">
      <c r="B275" s="4" t="inlineStr">
        <is>
          <t>월</t>
        </is>
      </c>
      <c r="C275" s="5" t="n"/>
      <c r="D275" s="6" t="inlineStr">
        <is>
          <t>← 1~12</t>
        </is>
      </c>
    </row>
    <row r="276">
      <c r="B276" s="4" t="inlineStr">
        <is>
          <t>주차</t>
        </is>
      </c>
      <c r="C276" s="5" t="n"/>
      <c r="D276" s="6" t="inlineStr">
        <is>
          <t>← 1~5</t>
        </is>
      </c>
    </row>
    <row r="277">
      <c r="B277" s="4" t="inlineStr">
        <is>
          <t>시작일</t>
        </is>
      </c>
      <c r="C277" s="7" t="n"/>
    </row>
    <row r="278">
      <c r="B278" s="4" t="inlineStr">
        <is>
          <t>종료일</t>
        </is>
      </c>
      <c r="C278" s="7" t="n"/>
    </row>
    <row r="279">
      <c r="B279" s="8" t="inlineStr">
        <is>
          <t>■ 매출</t>
        </is>
      </c>
      <c r="C279" s="9" t="n"/>
      <c r="D279" s="9" t="n"/>
    </row>
    <row r="280">
      <c r="B280" s="10" t="inlineStr">
        <is>
          <t>카드매출</t>
        </is>
      </c>
      <c r="C280" s="11" t="n"/>
      <c r="D280" s="6" t="inlineStr">
        <is>
          <t>원</t>
        </is>
      </c>
    </row>
    <row r="281">
      <c r="B281" s="10" t="inlineStr">
        <is>
          <t>현금매출</t>
        </is>
      </c>
      <c r="C281" s="11" t="n"/>
      <c r="D281" s="6" t="inlineStr">
        <is>
          <t>원</t>
        </is>
      </c>
    </row>
    <row r="282">
      <c r="B282" s="8" t="inlineStr">
        <is>
          <t>■ 공과금  (3주차에 지난달분 입력)</t>
        </is>
      </c>
      <c r="C282" s="9" t="n"/>
      <c r="D282" s="9" t="n"/>
    </row>
    <row r="283">
      <c r="B283" s="10" t="inlineStr">
        <is>
          <t>전기요금</t>
        </is>
      </c>
      <c r="C283" s="11" t="n"/>
      <c r="D283" s="6" t="inlineStr">
        <is>
          <t>원 (고지서 그대로)</t>
        </is>
      </c>
    </row>
    <row r="284">
      <c r="B284" s="10" t="inlineStr">
        <is>
          <t>가스요금</t>
        </is>
      </c>
      <c r="C284" s="11" t="n"/>
    </row>
    <row r="285">
      <c r="B285" s="10" t="inlineStr">
        <is>
          <t>수도요금</t>
        </is>
      </c>
      <c r="C285" s="11" t="n"/>
    </row>
    <row r="286">
      <c r="B286" s="8" t="inlineStr">
        <is>
          <t>■ 기타  (발생할 때만)</t>
        </is>
      </c>
      <c r="C286" s="9" t="n"/>
      <c r="D286" s="9" t="n"/>
    </row>
    <row r="287">
      <c r="B287" s="10" t="inlineStr">
        <is>
          <t>정화조 청소</t>
        </is>
      </c>
      <c r="C287" s="11" t="n"/>
    </row>
    <row r="288">
      <c r="B288" s="10" t="inlineStr">
        <is>
          <t>회식 연계매출</t>
        </is>
      </c>
      <c r="C288" s="11" t="n"/>
      <c r="D288" s="6" t="inlineStr">
        <is>
          <t>원 (재생전골 등)</t>
        </is>
      </c>
    </row>
    <row r="289">
      <c r="B289" s="10" t="inlineStr">
        <is>
          <t>기타비용</t>
        </is>
      </c>
      <c r="C289" s="11" t="n"/>
    </row>
    <row r="290">
      <c r="B290" s="10" t="inlineStr">
        <is>
          <t>비고</t>
        </is>
      </c>
      <c r="C290" s="7" t="n"/>
    </row>
    <row r="291">
      <c r="A291" s="12" t="n"/>
      <c r="B291" s="12" t="n"/>
      <c r="C291" s="12" t="n"/>
      <c r="D291" s="12" t="n"/>
      <c r="E291" s="12" t="n"/>
    </row>
    <row r="292">
      <c r="B292" s="3" t="inlineStr">
        <is>
          <t>📋 주간 정산 입력  #17</t>
        </is>
      </c>
    </row>
    <row r="293">
      <c r="B293" s="4" t="inlineStr">
        <is>
          <t>월</t>
        </is>
      </c>
      <c r="C293" s="5" t="n"/>
      <c r="D293" s="6" t="inlineStr">
        <is>
          <t>← 1~12</t>
        </is>
      </c>
    </row>
    <row r="294">
      <c r="B294" s="4" t="inlineStr">
        <is>
          <t>주차</t>
        </is>
      </c>
      <c r="C294" s="5" t="n"/>
      <c r="D294" s="6" t="inlineStr">
        <is>
          <t>← 1~5</t>
        </is>
      </c>
    </row>
    <row r="295">
      <c r="B295" s="4" t="inlineStr">
        <is>
          <t>시작일</t>
        </is>
      </c>
      <c r="C295" s="7" t="n"/>
    </row>
    <row r="296">
      <c r="B296" s="4" t="inlineStr">
        <is>
          <t>종료일</t>
        </is>
      </c>
      <c r="C296" s="7" t="n"/>
    </row>
    <row r="297">
      <c r="B297" s="8" t="inlineStr">
        <is>
          <t>■ 매출</t>
        </is>
      </c>
      <c r="C297" s="9" t="n"/>
      <c r="D297" s="9" t="n"/>
    </row>
    <row r="298">
      <c r="B298" s="10" t="inlineStr">
        <is>
          <t>카드매출</t>
        </is>
      </c>
      <c r="C298" s="11" t="n"/>
      <c r="D298" s="6" t="inlineStr">
        <is>
          <t>원</t>
        </is>
      </c>
    </row>
    <row r="299">
      <c r="B299" s="10" t="inlineStr">
        <is>
          <t>현금매출</t>
        </is>
      </c>
      <c r="C299" s="11" t="n"/>
      <c r="D299" s="6" t="inlineStr">
        <is>
          <t>원</t>
        </is>
      </c>
    </row>
    <row r="300">
      <c r="B300" s="8" t="inlineStr">
        <is>
          <t>■ 공과금  (3주차에 지난달분 입력)</t>
        </is>
      </c>
      <c r="C300" s="9" t="n"/>
      <c r="D300" s="9" t="n"/>
    </row>
    <row r="301">
      <c r="B301" s="10" t="inlineStr">
        <is>
          <t>전기요금</t>
        </is>
      </c>
      <c r="C301" s="11" t="n"/>
      <c r="D301" s="6" t="inlineStr">
        <is>
          <t>원 (고지서 그대로)</t>
        </is>
      </c>
    </row>
    <row r="302">
      <c r="B302" s="10" t="inlineStr">
        <is>
          <t>가스요금</t>
        </is>
      </c>
      <c r="C302" s="11" t="n"/>
    </row>
    <row r="303">
      <c r="B303" s="10" t="inlineStr">
        <is>
          <t>수도요금</t>
        </is>
      </c>
      <c r="C303" s="11" t="n"/>
    </row>
    <row r="304">
      <c r="B304" s="8" t="inlineStr">
        <is>
          <t>■ 기타  (발생할 때만)</t>
        </is>
      </c>
      <c r="C304" s="9" t="n"/>
      <c r="D304" s="9" t="n"/>
    </row>
    <row r="305">
      <c r="B305" s="10" t="inlineStr">
        <is>
          <t>정화조 청소</t>
        </is>
      </c>
      <c r="C305" s="11" t="n"/>
    </row>
    <row r="306">
      <c r="B306" s="10" t="inlineStr">
        <is>
          <t>회식 연계매출</t>
        </is>
      </c>
      <c r="C306" s="11" t="n"/>
      <c r="D306" s="6" t="inlineStr">
        <is>
          <t>원 (재생전골 등)</t>
        </is>
      </c>
    </row>
    <row r="307">
      <c r="B307" s="10" t="inlineStr">
        <is>
          <t>기타비용</t>
        </is>
      </c>
      <c r="C307" s="11" t="n"/>
    </row>
    <row r="308">
      <c r="B308" s="10" t="inlineStr">
        <is>
          <t>비고</t>
        </is>
      </c>
      <c r="C308" s="7" t="n"/>
    </row>
    <row r="309">
      <c r="A309" s="12" t="n"/>
      <c r="B309" s="12" t="n"/>
      <c r="C309" s="12" t="n"/>
      <c r="D309" s="12" t="n"/>
      <c r="E309" s="12" t="n"/>
    </row>
    <row r="310">
      <c r="B310" s="3" t="inlineStr">
        <is>
          <t>📋 주간 정산 입력  #18</t>
        </is>
      </c>
    </row>
    <row r="311">
      <c r="B311" s="4" t="inlineStr">
        <is>
          <t>월</t>
        </is>
      </c>
      <c r="C311" s="5" t="n"/>
      <c r="D311" s="6" t="inlineStr">
        <is>
          <t>← 1~12</t>
        </is>
      </c>
    </row>
    <row r="312">
      <c r="B312" s="4" t="inlineStr">
        <is>
          <t>주차</t>
        </is>
      </c>
      <c r="C312" s="5" t="n"/>
      <c r="D312" s="6" t="inlineStr">
        <is>
          <t>← 1~5</t>
        </is>
      </c>
    </row>
    <row r="313">
      <c r="B313" s="4" t="inlineStr">
        <is>
          <t>시작일</t>
        </is>
      </c>
      <c r="C313" s="7" t="n"/>
    </row>
    <row r="314">
      <c r="B314" s="4" t="inlineStr">
        <is>
          <t>종료일</t>
        </is>
      </c>
      <c r="C314" s="7" t="n"/>
    </row>
    <row r="315">
      <c r="B315" s="8" t="inlineStr">
        <is>
          <t>■ 매출</t>
        </is>
      </c>
      <c r="C315" s="9" t="n"/>
      <c r="D315" s="9" t="n"/>
    </row>
    <row r="316">
      <c r="B316" s="10" t="inlineStr">
        <is>
          <t>카드매출</t>
        </is>
      </c>
      <c r="C316" s="11" t="n"/>
      <c r="D316" s="6" t="inlineStr">
        <is>
          <t>원</t>
        </is>
      </c>
    </row>
    <row r="317">
      <c r="B317" s="10" t="inlineStr">
        <is>
          <t>현금매출</t>
        </is>
      </c>
      <c r="C317" s="11" t="n"/>
      <c r="D317" s="6" t="inlineStr">
        <is>
          <t>원</t>
        </is>
      </c>
    </row>
    <row r="318">
      <c r="B318" s="8" t="inlineStr">
        <is>
          <t>■ 공과금  (3주차에 지난달분 입력)</t>
        </is>
      </c>
      <c r="C318" s="9" t="n"/>
      <c r="D318" s="9" t="n"/>
    </row>
    <row r="319">
      <c r="B319" s="10" t="inlineStr">
        <is>
          <t>전기요금</t>
        </is>
      </c>
      <c r="C319" s="11" t="n"/>
      <c r="D319" s="6" t="inlineStr">
        <is>
          <t>원 (고지서 그대로)</t>
        </is>
      </c>
    </row>
    <row r="320">
      <c r="B320" s="10" t="inlineStr">
        <is>
          <t>가스요금</t>
        </is>
      </c>
      <c r="C320" s="11" t="n"/>
    </row>
    <row r="321">
      <c r="B321" s="10" t="inlineStr">
        <is>
          <t>수도요금</t>
        </is>
      </c>
      <c r="C321" s="11" t="n"/>
    </row>
    <row r="322">
      <c r="B322" s="8" t="inlineStr">
        <is>
          <t>■ 기타  (발생할 때만)</t>
        </is>
      </c>
      <c r="C322" s="9" t="n"/>
      <c r="D322" s="9" t="n"/>
    </row>
    <row r="323">
      <c r="B323" s="10" t="inlineStr">
        <is>
          <t>정화조 청소</t>
        </is>
      </c>
      <c r="C323" s="11" t="n"/>
    </row>
    <row r="324">
      <c r="B324" s="10" t="inlineStr">
        <is>
          <t>회식 연계매출</t>
        </is>
      </c>
      <c r="C324" s="11" t="n"/>
      <c r="D324" s="6" t="inlineStr">
        <is>
          <t>원 (재생전골 등)</t>
        </is>
      </c>
    </row>
    <row r="325">
      <c r="B325" s="10" t="inlineStr">
        <is>
          <t>기타비용</t>
        </is>
      </c>
      <c r="C325" s="11" t="n"/>
    </row>
    <row r="326">
      <c r="B326" s="10" t="inlineStr">
        <is>
          <t>비고</t>
        </is>
      </c>
      <c r="C326" s="7" t="n"/>
    </row>
    <row r="327">
      <c r="A327" s="12" t="n"/>
      <c r="B327" s="12" t="n"/>
      <c r="C327" s="12" t="n"/>
      <c r="D327" s="12" t="n"/>
      <c r="E327" s="12" t="n"/>
    </row>
    <row r="328">
      <c r="B328" s="3" t="inlineStr">
        <is>
          <t>📋 주간 정산 입력  #19</t>
        </is>
      </c>
    </row>
    <row r="329">
      <c r="B329" s="4" t="inlineStr">
        <is>
          <t>월</t>
        </is>
      </c>
      <c r="C329" s="5" t="n"/>
      <c r="D329" s="6" t="inlineStr">
        <is>
          <t>← 1~12</t>
        </is>
      </c>
    </row>
    <row r="330">
      <c r="B330" s="4" t="inlineStr">
        <is>
          <t>주차</t>
        </is>
      </c>
      <c r="C330" s="5" t="n"/>
      <c r="D330" s="6" t="inlineStr">
        <is>
          <t>← 1~5</t>
        </is>
      </c>
    </row>
    <row r="331">
      <c r="B331" s="4" t="inlineStr">
        <is>
          <t>시작일</t>
        </is>
      </c>
      <c r="C331" s="7" t="n"/>
    </row>
    <row r="332">
      <c r="B332" s="4" t="inlineStr">
        <is>
          <t>종료일</t>
        </is>
      </c>
      <c r="C332" s="7" t="n"/>
    </row>
    <row r="333">
      <c r="B333" s="8" t="inlineStr">
        <is>
          <t>■ 매출</t>
        </is>
      </c>
      <c r="C333" s="9" t="n"/>
      <c r="D333" s="9" t="n"/>
    </row>
    <row r="334">
      <c r="B334" s="10" t="inlineStr">
        <is>
          <t>카드매출</t>
        </is>
      </c>
      <c r="C334" s="11" t="n"/>
      <c r="D334" s="6" t="inlineStr">
        <is>
          <t>원</t>
        </is>
      </c>
    </row>
    <row r="335">
      <c r="B335" s="10" t="inlineStr">
        <is>
          <t>현금매출</t>
        </is>
      </c>
      <c r="C335" s="11" t="n"/>
      <c r="D335" s="6" t="inlineStr">
        <is>
          <t>원</t>
        </is>
      </c>
    </row>
    <row r="336">
      <c r="B336" s="8" t="inlineStr">
        <is>
          <t>■ 공과금  (3주차에 지난달분 입력)</t>
        </is>
      </c>
      <c r="C336" s="9" t="n"/>
      <c r="D336" s="9" t="n"/>
    </row>
    <row r="337">
      <c r="B337" s="10" t="inlineStr">
        <is>
          <t>전기요금</t>
        </is>
      </c>
      <c r="C337" s="11" t="n"/>
      <c r="D337" s="6" t="inlineStr">
        <is>
          <t>원 (고지서 그대로)</t>
        </is>
      </c>
    </row>
    <row r="338">
      <c r="B338" s="10" t="inlineStr">
        <is>
          <t>가스요금</t>
        </is>
      </c>
      <c r="C338" s="11" t="n"/>
    </row>
    <row r="339">
      <c r="B339" s="10" t="inlineStr">
        <is>
          <t>수도요금</t>
        </is>
      </c>
      <c r="C339" s="11" t="n"/>
    </row>
    <row r="340">
      <c r="B340" s="8" t="inlineStr">
        <is>
          <t>■ 기타  (발생할 때만)</t>
        </is>
      </c>
      <c r="C340" s="9" t="n"/>
      <c r="D340" s="9" t="n"/>
    </row>
    <row r="341">
      <c r="B341" s="10" t="inlineStr">
        <is>
          <t>정화조 청소</t>
        </is>
      </c>
      <c r="C341" s="11" t="n"/>
    </row>
    <row r="342">
      <c r="B342" s="10" t="inlineStr">
        <is>
          <t>회식 연계매출</t>
        </is>
      </c>
      <c r="C342" s="11" t="n"/>
      <c r="D342" s="6" t="inlineStr">
        <is>
          <t>원 (재생전골 등)</t>
        </is>
      </c>
    </row>
    <row r="343">
      <c r="B343" s="10" t="inlineStr">
        <is>
          <t>기타비용</t>
        </is>
      </c>
      <c r="C343" s="11" t="n"/>
    </row>
    <row r="344">
      <c r="B344" s="10" t="inlineStr">
        <is>
          <t>비고</t>
        </is>
      </c>
      <c r="C344" s="7" t="n"/>
    </row>
    <row r="345">
      <c r="A345" s="12" t="n"/>
      <c r="B345" s="12" t="n"/>
      <c r="C345" s="12" t="n"/>
      <c r="D345" s="12" t="n"/>
      <c r="E345" s="12" t="n"/>
    </row>
    <row r="346">
      <c r="B346" s="3" t="inlineStr">
        <is>
          <t>📋 주간 정산 입력  #20</t>
        </is>
      </c>
    </row>
    <row r="347">
      <c r="B347" s="4" t="inlineStr">
        <is>
          <t>월</t>
        </is>
      </c>
      <c r="C347" s="5" t="n"/>
      <c r="D347" s="6" t="inlineStr">
        <is>
          <t>← 1~12</t>
        </is>
      </c>
    </row>
    <row r="348">
      <c r="B348" s="4" t="inlineStr">
        <is>
          <t>주차</t>
        </is>
      </c>
      <c r="C348" s="5" t="n"/>
      <c r="D348" s="6" t="inlineStr">
        <is>
          <t>← 1~5</t>
        </is>
      </c>
    </row>
    <row r="349">
      <c r="B349" s="4" t="inlineStr">
        <is>
          <t>시작일</t>
        </is>
      </c>
      <c r="C349" s="7" t="n"/>
    </row>
    <row r="350">
      <c r="B350" s="4" t="inlineStr">
        <is>
          <t>종료일</t>
        </is>
      </c>
      <c r="C350" s="7" t="n"/>
    </row>
    <row r="351">
      <c r="B351" s="8" t="inlineStr">
        <is>
          <t>■ 매출</t>
        </is>
      </c>
      <c r="C351" s="9" t="n"/>
      <c r="D351" s="9" t="n"/>
    </row>
    <row r="352">
      <c r="B352" s="10" t="inlineStr">
        <is>
          <t>카드매출</t>
        </is>
      </c>
      <c r="C352" s="11" t="n"/>
      <c r="D352" s="6" t="inlineStr">
        <is>
          <t>원</t>
        </is>
      </c>
    </row>
    <row r="353">
      <c r="B353" s="10" t="inlineStr">
        <is>
          <t>현금매출</t>
        </is>
      </c>
      <c r="C353" s="11" t="n"/>
      <c r="D353" s="6" t="inlineStr">
        <is>
          <t>원</t>
        </is>
      </c>
    </row>
    <row r="354">
      <c r="B354" s="8" t="inlineStr">
        <is>
          <t>■ 공과금  (3주차에 지난달분 입력)</t>
        </is>
      </c>
      <c r="C354" s="9" t="n"/>
      <c r="D354" s="9" t="n"/>
    </row>
    <row r="355">
      <c r="B355" s="10" t="inlineStr">
        <is>
          <t>전기요금</t>
        </is>
      </c>
      <c r="C355" s="11" t="n"/>
      <c r="D355" s="6" t="inlineStr">
        <is>
          <t>원 (고지서 그대로)</t>
        </is>
      </c>
    </row>
    <row r="356">
      <c r="B356" s="10" t="inlineStr">
        <is>
          <t>가스요금</t>
        </is>
      </c>
      <c r="C356" s="11" t="n"/>
    </row>
    <row r="357">
      <c r="B357" s="10" t="inlineStr">
        <is>
          <t>수도요금</t>
        </is>
      </c>
      <c r="C357" s="11" t="n"/>
    </row>
    <row r="358">
      <c r="B358" s="8" t="inlineStr">
        <is>
          <t>■ 기타  (발생할 때만)</t>
        </is>
      </c>
      <c r="C358" s="9" t="n"/>
      <c r="D358" s="9" t="n"/>
    </row>
    <row r="359">
      <c r="B359" s="10" t="inlineStr">
        <is>
          <t>정화조 청소</t>
        </is>
      </c>
      <c r="C359" s="11" t="n"/>
    </row>
    <row r="360">
      <c r="B360" s="10" t="inlineStr">
        <is>
          <t>회식 연계매출</t>
        </is>
      </c>
      <c r="C360" s="11" t="n"/>
      <c r="D360" s="6" t="inlineStr">
        <is>
          <t>원 (재생전골 등)</t>
        </is>
      </c>
    </row>
    <row r="361">
      <c r="B361" s="10" t="inlineStr">
        <is>
          <t>기타비용</t>
        </is>
      </c>
      <c r="C361" s="11" t="n"/>
    </row>
    <row r="362">
      <c r="B362" s="10" t="inlineStr">
        <is>
          <t>비고</t>
        </is>
      </c>
      <c r="C362" s="7" t="n"/>
    </row>
    <row r="363">
      <c r="A363" s="12" t="n"/>
      <c r="B363" s="12" t="n"/>
      <c r="C363" s="12" t="n"/>
      <c r="D363" s="12" t="n"/>
      <c r="E363" s="12" t="n"/>
    </row>
    <row r="364">
      <c r="B364" s="3" t="inlineStr">
        <is>
          <t>📋 주간 정산 입력  #21</t>
        </is>
      </c>
    </row>
    <row r="365">
      <c r="B365" s="4" t="inlineStr">
        <is>
          <t>월</t>
        </is>
      </c>
      <c r="C365" s="5" t="n"/>
      <c r="D365" s="6" t="inlineStr">
        <is>
          <t>← 1~12</t>
        </is>
      </c>
    </row>
    <row r="366">
      <c r="B366" s="4" t="inlineStr">
        <is>
          <t>주차</t>
        </is>
      </c>
      <c r="C366" s="5" t="n"/>
      <c r="D366" s="6" t="inlineStr">
        <is>
          <t>← 1~5</t>
        </is>
      </c>
    </row>
    <row r="367">
      <c r="B367" s="4" t="inlineStr">
        <is>
          <t>시작일</t>
        </is>
      </c>
      <c r="C367" s="7" t="n"/>
    </row>
    <row r="368">
      <c r="B368" s="4" t="inlineStr">
        <is>
          <t>종료일</t>
        </is>
      </c>
      <c r="C368" s="7" t="n"/>
    </row>
    <row r="369">
      <c r="B369" s="8" t="inlineStr">
        <is>
          <t>■ 매출</t>
        </is>
      </c>
      <c r="C369" s="9" t="n"/>
      <c r="D369" s="9" t="n"/>
    </row>
    <row r="370">
      <c r="B370" s="10" t="inlineStr">
        <is>
          <t>카드매출</t>
        </is>
      </c>
      <c r="C370" s="11" t="n"/>
      <c r="D370" s="6" t="inlineStr">
        <is>
          <t>원</t>
        </is>
      </c>
    </row>
    <row r="371">
      <c r="B371" s="10" t="inlineStr">
        <is>
          <t>현금매출</t>
        </is>
      </c>
      <c r="C371" s="11" t="n"/>
      <c r="D371" s="6" t="inlineStr">
        <is>
          <t>원</t>
        </is>
      </c>
    </row>
    <row r="372">
      <c r="B372" s="8" t="inlineStr">
        <is>
          <t>■ 공과금  (3주차에 지난달분 입력)</t>
        </is>
      </c>
      <c r="C372" s="9" t="n"/>
      <c r="D372" s="9" t="n"/>
    </row>
    <row r="373">
      <c r="B373" s="10" t="inlineStr">
        <is>
          <t>전기요금</t>
        </is>
      </c>
      <c r="C373" s="11" t="n"/>
      <c r="D373" s="6" t="inlineStr">
        <is>
          <t>원 (고지서 그대로)</t>
        </is>
      </c>
    </row>
    <row r="374">
      <c r="B374" s="10" t="inlineStr">
        <is>
          <t>가스요금</t>
        </is>
      </c>
      <c r="C374" s="11" t="n"/>
    </row>
    <row r="375">
      <c r="B375" s="10" t="inlineStr">
        <is>
          <t>수도요금</t>
        </is>
      </c>
      <c r="C375" s="11" t="n"/>
    </row>
    <row r="376">
      <c r="B376" s="8" t="inlineStr">
        <is>
          <t>■ 기타  (발생할 때만)</t>
        </is>
      </c>
      <c r="C376" s="9" t="n"/>
      <c r="D376" s="9" t="n"/>
    </row>
    <row r="377">
      <c r="B377" s="10" t="inlineStr">
        <is>
          <t>정화조 청소</t>
        </is>
      </c>
      <c r="C377" s="11" t="n"/>
    </row>
    <row r="378">
      <c r="B378" s="10" t="inlineStr">
        <is>
          <t>회식 연계매출</t>
        </is>
      </c>
      <c r="C378" s="11" t="n"/>
      <c r="D378" s="6" t="inlineStr">
        <is>
          <t>원 (재생전골 등)</t>
        </is>
      </c>
    </row>
    <row r="379">
      <c r="B379" s="10" t="inlineStr">
        <is>
          <t>기타비용</t>
        </is>
      </c>
      <c r="C379" s="11" t="n"/>
    </row>
    <row r="380">
      <c r="B380" s="10" t="inlineStr">
        <is>
          <t>비고</t>
        </is>
      </c>
      <c r="C380" s="7" t="n"/>
    </row>
    <row r="381">
      <c r="A381" s="12" t="n"/>
      <c r="B381" s="12" t="n"/>
      <c r="C381" s="12" t="n"/>
      <c r="D381" s="12" t="n"/>
      <c r="E381" s="12" t="n"/>
    </row>
    <row r="382">
      <c r="B382" s="3" t="inlineStr">
        <is>
          <t>📋 주간 정산 입력  #22</t>
        </is>
      </c>
    </row>
    <row r="383">
      <c r="B383" s="4" t="inlineStr">
        <is>
          <t>월</t>
        </is>
      </c>
      <c r="C383" s="5" t="n"/>
      <c r="D383" s="6" t="inlineStr">
        <is>
          <t>← 1~12</t>
        </is>
      </c>
    </row>
    <row r="384">
      <c r="B384" s="4" t="inlineStr">
        <is>
          <t>주차</t>
        </is>
      </c>
      <c r="C384" s="5" t="n"/>
      <c r="D384" s="6" t="inlineStr">
        <is>
          <t>← 1~5</t>
        </is>
      </c>
    </row>
    <row r="385">
      <c r="B385" s="4" t="inlineStr">
        <is>
          <t>시작일</t>
        </is>
      </c>
      <c r="C385" s="7" t="n"/>
    </row>
    <row r="386">
      <c r="B386" s="4" t="inlineStr">
        <is>
          <t>종료일</t>
        </is>
      </c>
      <c r="C386" s="7" t="n"/>
    </row>
    <row r="387">
      <c r="B387" s="8" t="inlineStr">
        <is>
          <t>■ 매출</t>
        </is>
      </c>
      <c r="C387" s="9" t="n"/>
      <c r="D387" s="9" t="n"/>
    </row>
    <row r="388">
      <c r="B388" s="10" t="inlineStr">
        <is>
          <t>카드매출</t>
        </is>
      </c>
      <c r="C388" s="11" t="n"/>
      <c r="D388" s="6" t="inlineStr">
        <is>
          <t>원</t>
        </is>
      </c>
    </row>
    <row r="389">
      <c r="B389" s="10" t="inlineStr">
        <is>
          <t>현금매출</t>
        </is>
      </c>
      <c r="C389" s="11" t="n"/>
      <c r="D389" s="6" t="inlineStr">
        <is>
          <t>원</t>
        </is>
      </c>
    </row>
    <row r="390">
      <c r="B390" s="8" t="inlineStr">
        <is>
          <t>■ 공과금  (3주차에 지난달분 입력)</t>
        </is>
      </c>
      <c r="C390" s="9" t="n"/>
      <c r="D390" s="9" t="n"/>
    </row>
    <row r="391">
      <c r="B391" s="10" t="inlineStr">
        <is>
          <t>전기요금</t>
        </is>
      </c>
      <c r="C391" s="11" t="n"/>
      <c r="D391" s="6" t="inlineStr">
        <is>
          <t>원 (고지서 그대로)</t>
        </is>
      </c>
    </row>
    <row r="392">
      <c r="B392" s="10" t="inlineStr">
        <is>
          <t>가스요금</t>
        </is>
      </c>
      <c r="C392" s="11" t="n"/>
    </row>
    <row r="393">
      <c r="B393" s="10" t="inlineStr">
        <is>
          <t>수도요금</t>
        </is>
      </c>
      <c r="C393" s="11" t="n"/>
    </row>
    <row r="394">
      <c r="B394" s="8" t="inlineStr">
        <is>
          <t>■ 기타  (발생할 때만)</t>
        </is>
      </c>
      <c r="C394" s="9" t="n"/>
      <c r="D394" s="9" t="n"/>
    </row>
    <row r="395">
      <c r="B395" s="10" t="inlineStr">
        <is>
          <t>정화조 청소</t>
        </is>
      </c>
      <c r="C395" s="11" t="n"/>
    </row>
    <row r="396">
      <c r="B396" s="10" t="inlineStr">
        <is>
          <t>회식 연계매출</t>
        </is>
      </c>
      <c r="C396" s="11" t="n"/>
      <c r="D396" s="6" t="inlineStr">
        <is>
          <t>원 (재생전골 등)</t>
        </is>
      </c>
    </row>
    <row r="397">
      <c r="B397" s="10" t="inlineStr">
        <is>
          <t>기타비용</t>
        </is>
      </c>
      <c r="C397" s="11" t="n"/>
    </row>
    <row r="398">
      <c r="B398" s="10" t="inlineStr">
        <is>
          <t>비고</t>
        </is>
      </c>
      <c r="C398" s="7" t="n"/>
    </row>
    <row r="399">
      <c r="A399" s="12" t="n"/>
      <c r="B399" s="12" t="n"/>
      <c r="C399" s="12" t="n"/>
      <c r="D399" s="12" t="n"/>
      <c r="E399" s="12" t="n"/>
    </row>
    <row r="400">
      <c r="B400" s="3" t="inlineStr">
        <is>
          <t>📋 주간 정산 입력  #23</t>
        </is>
      </c>
    </row>
    <row r="401">
      <c r="B401" s="4" t="inlineStr">
        <is>
          <t>월</t>
        </is>
      </c>
      <c r="C401" s="5" t="n"/>
      <c r="D401" s="6" t="inlineStr">
        <is>
          <t>← 1~12</t>
        </is>
      </c>
    </row>
    <row r="402">
      <c r="B402" s="4" t="inlineStr">
        <is>
          <t>주차</t>
        </is>
      </c>
      <c r="C402" s="5" t="n"/>
      <c r="D402" s="6" t="inlineStr">
        <is>
          <t>← 1~5</t>
        </is>
      </c>
    </row>
    <row r="403">
      <c r="B403" s="4" t="inlineStr">
        <is>
          <t>시작일</t>
        </is>
      </c>
      <c r="C403" s="7" t="n"/>
    </row>
    <row r="404">
      <c r="B404" s="4" t="inlineStr">
        <is>
          <t>종료일</t>
        </is>
      </c>
      <c r="C404" s="7" t="n"/>
    </row>
    <row r="405">
      <c r="B405" s="8" t="inlineStr">
        <is>
          <t>■ 매출</t>
        </is>
      </c>
      <c r="C405" s="9" t="n"/>
      <c r="D405" s="9" t="n"/>
    </row>
    <row r="406">
      <c r="B406" s="10" t="inlineStr">
        <is>
          <t>카드매출</t>
        </is>
      </c>
      <c r="C406" s="11" t="n"/>
      <c r="D406" s="6" t="inlineStr">
        <is>
          <t>원</t>
        </is>
      </c>
    </row>
    <row r="407">
      <c r="B407" s="10" t="inlineStr">
        <is>
          <t>현금매출</t>
        </is>
      </c>
      <c r="C407" s="11" t="n"/>
      <c r="D407" s="6" t="inlineStr">
        <is>
          <t>원</t>
        </is>
      </c>
    </row>
    <row r="408">
      <c r="B408" s="8" t="inlineStr">
        <is>
          <t>■ 공과금  (3주차에 지난달분 입력)</t>
        </is>
      </c>
      <c r="C408" s="9" t="n"/>
      <c r="D408" s="9" t="n"/>
    </row>
    <row r="409">
      <c r="B409" s="10" t="inlineStr">
        <is>
          <t>전기요금</t>
        </is>
      </c>
      <c r="C409" s="11" t="n"/>
      <c r="D409" s="6" t="inlineStr">
        <is>
          <t>원 (고지서 그대로)</t>
        </is>
      </c>
    </row>
    <row r="410">
      <c r="B410" s="10" t="inlineStr">
        <is>
          <t>가스요금</t>
        </is>
      </c>
      <c r="C410" s="11" t="n"/>
    </row>
    <row r="411">
      <c r="B411" s="10" t="inlineStr">
        <is>
          <t>수도요금</t>
        </is>
      </c>
      <c r="C411" s="11" t="n"/>
    </row>
    <row r="412">
      <c r="B412" s="8" t="inlineStr">
        <is>
          <t>■ 기타  (발생할 때만)</t>
        </is>
      </c>
      <c r="C412" s="9" t="n"/>
      <c r="D412" s="9" t="n"/>
    </row>
    <row r="413">
      <c r="B413" s="10" t="inlineStr">
        <is>
          <t>정화조 청소</t>
        </is>
      </c>
      <c r="C413" s="11" t="n"/>
    </row>
    <row r="414">
      <c r="B414" s="10" t="inlineStr">
        <is>
          <t>회식 연계매출</t>
        </is>
      </c>
      <c r="C414" s="11" t="n"/>
      <c r="D414" s="6" t="inlineStr">
        <is>
          <t>원 (재생전골 등)</t>
        </is>
      </c>
    </row>
    <row r="415">
      <c r="B415" s="10" t="inlineStr">
        <is>
          <t>기타비용</t>
        </is>
      </c>
      <c r="C415" s="11" t="n"/>
    </row>
    <row r="416">
      <c r="B416" s="10" t="inlineStr">
        <is>
          <t>비고</t>
        </is>
      </c>
      <c r="C416" s="7" t="n"/>
    </row>
    <row r="417">
      <c r="A417" s="12" t="n"/>
      <c r="B417" s="12" t="n"/>
      <c r="C417" s="12" t="n"/>
      <c r="D417" s="12" t="n"/>
      <c r="E417" s="12" t="n"/>
    </row>
    <row r="418">
      <c r="B418" s="3" t="inlineStr">
        <is>
          <t>📋 주간 정산 입력  #24</t>
        </is>
      </c>
    </row>
    <row r="419">
      <c r="B419" s="4" t="inlineStr">
        <is>
          <t>월</t>
        </is>
      </c>
      <c r="C419" s="5" t="n"/>
      <c r="D419" s="6" t="inlineStr">
        <is>
          <t>← 1~12</t>
        </is>
      </c>
    </row>
    <row r="420">
      <c r="B420" s="4" t="inlineStr">
        <is>
          <t>주차</t>
        </is>
      </c>
      <c r="C420" s="5" t="n"/>
      <c r="D420" s="6" t="inlineStr">
        <is>
          <t>← 1~5</t>
        </is>
      </c>
    </row>
    <row r="421">
      <c r="B421" s="4" t="inlineStr">
        <is>
          <t>시작일</t>
        </is>
      </c>
      <c r="C421" s="7" t="n"/>
    </row>
    <row r="422">
      <c r="B422" s="4" t="inlineStr">
        <is>
          <t>종료일</t>
        </is>
      </c>
      <c r="C422" s="7" t="n"/>
    </row>
    <row r="423">
      <c r="B423" s="8" t="inlineStr">
        <is>
          <t>■ 매출</t>
        </is>
      </c>
      <c r="C423" s="9" t="n"/>
      <c r="D423" s="9" t="n"/>
    </row>
    <row r="424">
      <c r="B424" s="10" t="inlineStr">
        <is>
          <t>카드매출</t>
        </is>
      </c>
      <c r="C424" s="11" t="n"/>
      <c r="D424" s="6" t="inlineStr">
        <is>
          <t>원</t>
        </is>
      </c>
    </row>
    <row r="425">
      <c r="B425" s="10" t="inlineStr">
        <is>
          <t>현금매출</t>
        </is>
      </c>
      <c r="C425" s="11" t="n"/>
      <c r="D425" s="6" t="inlineStr">
        <is>
          <t>원</t>
        </is>
      </c>
    </row>
    <row r="426">
      <c r="B426" s="8" t="inlineStr">
        <is>
          <t>■ 공과금  (3주차에 지난달분 입력)</t>
        </is>
      </c>
      <c r="C426" s="9" t="n"/>
      <c r="D426" s="9" t="n"/>
    </row>
    <row r="427">
      <c r="B427" s="10" t="inlineStr">
        <is>
          <t>전기요금</t>
        </is>
      </c>
      <c r="C427" s="11" t="n"/>
      <c r="D427" s="6" t="inlineStr">
        <is>
          <t>원 (고지서 그대로)</t>
        </is>
      </c>
    </row>
    <row r="428">
      <c r="B428" s="10" t="inlineStr">
        <is>
          <t>가스요금</t>
        </is>
      </c>
      <c r="C428" s="11" t="n"/>
    </row>
    <row r="429">
      <c r="B429" s="10" t="inlineStr">
        <is>
          <t>수도요금</t>
        </is>
      </c>
      <c r="C429" s="11" t="n"/>
    </row>
    <row r="430">
      <c r="B430" s="8" t="inlineStr">
        <is>
          <t>■ 기타  (발생할 때만)</t>
        </is>
      </c>
      <c r="C430" s="9" t="n"/>
      <c r="D430" s="9" t="n"/>
    </row>
    <row r="431">
      <c r="B431" s="10" t="inlineStr">
        <is>
          <t>정화조 청소</t>
        </is>
      </c>
      <c r="C431" s="11" t="n"/>
    </row>
    <row r="432">
      <c r="B432" s="10" t="inlineStr">
        <is>
          <t>회식 연계매출</t>
        </is>
      </c>
      <c r="C432" s="11" t="n"/>
      <c r="D432" s="6" t="inlineStr">
        <is>
          <t>원 (재생전골 등)</t>
        </is>
      </c>
    </row>
    <row r="433">
      <c r="B433" s="10" t="inlineStr">
        <is>
          <t>기타비용</t>
        </is>
      </c>
      <c r="C433" s="11" t="n"/>
    </row>
    <row r="434">
      <c r="B434" s="10" t="inlineStr">
        <is>
          <t>비고</t>
        </is>
      </c>
      <c r="C434" s="7" t="n"/>
    </row>
    <row r="435">
      <c r="A435" s="12" t="n"/>
      <c r="B435" s="12" t="n"/>
      <c r="C435" s="12" t="n"/>
      <c r="D435" s="12" t="n"/>
      <c r="E435" s="12" t="n"/>
    </row>
    <row r="436">
      <c r="B436" s="3" t="inlineStr">
        <is>
          <t>📋 주간 정산 입력  #25</t>
        </is>
      </c>
    </row>
    <row r="437">
      <c r="B437" s="4" t="inlineStr">
        <is>
          <t>월</t>
        </is>
      </c>
      <c r="C437" s="5" t="n"/>
      <c r="D437" s="6" t="inlineStr">
        <is>
          <t>← 1~12</t>
        </is>
      </c>
    </row>
    <row r="438">
      <c r="B438" s="4" t="inlineStr">
        <is>
          <t>주차</t>
        </is>
      </c>
      <c r="C438" s="5" t="n"/>
      <c r="D438" s="6" t="inlineStr">
        <is>
          <t>← 1~5</t>
        </is>
      </c>
    </row>
    <row r="439">
      <c r="B439" s="4" t="inlineStr">
        <is>
          <t>시작일</t>
        </is>
      </c>
      <c r="C439" s="7" t="n"/>
    </row>
    <row r="440">
      <c r="B440" s="4" t="inlineStr">
        <is>
          <t>종료일</t>
        </is>
      </c>
      <c r="C440" s="7" t="n"/>
    </row>
    <row r="441">
      <c r="B441" s="8" t="inlineStr">
        <is>
          <t>■ 매출</t>
        </is>
      </c>
      <c r="C441" s="9" t="n"/>
      <c r="D441" s="9" t="n"/>
    </row>
    <row r="442">
      <c r="B442" s="10" t="inlineStr">
        <is>
          <t>카드매출</t>
        </is>
      </c>
      <c r="C442" s="11" t="n"/>
      <c r="D442" s="6" t="inlineStr">
        <is>
          <t>원</t>
        </is>
      </c>
    </row>
    <row r="443">
      <c r="B443" s="10" t="inlineStr">
        <is>
          <t>현금매출</t>
        </is>
      </c>
      <c r="C443" s="11" t="n"/>
      <c r="D443" s="6" t="inlineStr">
        <is>
          <t>원</t>
        </is>
      </c>
    </row>
    <row r="444">
      <c r="B444" s="8" t="inlineStr">
        <is>
          <t>■ 공과금  (3주차에 지난달분 입력)</t>
        </is>
      </c>
      <c r="C444" s="9" t="n"/>
      <c r="D444" s="9" t="n"/>
    </row>
    <row r="445">
      <c r="B445" s="10" t="inlineStr">
        <is>
          <t>전기요금</t>
        </is>
      </c>
      <c r="C445" s="11" t="n"/>
      <c r="D445" s="6" t="inlineStr">
        <is>
          <t>원 (고지서 그대로)</t>
        </is>
      </c>
    </row>
    <row r="446">
      <c r="B446" s="10" t="inlineStr">
        <is>
          <t>가스요금</t>
        </is>
      </c>
      <c r="C446" s="11" t="n"/>
    </row>
    <row r="447">
      <c r="B447" s="10" t="inlineStr">
        <is>
          <t>수도요금</t>
        </is>
      </c>
      <c r="C447" s="11" t="n"/>
    </row>
    <row r="448">
      <c r="B448" s="8" t="inlineStr">
        <is>
          <t>■ 기타  (발생할 때만)</t>
        </is>
      </c>
      <c r="C448" s="9" t="n"/>
      <c r="D448" s="9" t="n"/>
    </row>
    <row r="449">
      <c r="B449" s="10" t="inlineStr">
        <is>
          <t>정화조 청소</t>
        </is>
      </c>
      <c r="C449" s="11" t="n"/>
    </row>
    <row r="450">
      <c r="B450" s="10" t="inlineStr">
        <is>
          <t>회식 연계매출</t>
        </is>
      </c>
      <c r="C450" s="11" t="n"/>
      <c r="D450" s="6" t="inlineStr">
        <is>
          <t>원 (재생전골 등)</t>
        </is>
      </c>
    </row>
    <row r="451">
      <c r="B451" s="10" t="inlineStr">
        <is>
          <t>기타비용</t>
        </is>
      </c>
      <c r="C451" s="11" t="n"/>
    </row>
    <row r="452">
      <c r="B452" s="10" t="inlineStr">
        <is>
          <t>비고</t>
        </is>
      </c>
      <c r="C452" s="7" t="n"/>
    </row>
    <row r="453">
      <c r="A453" s="12" t="n"/>
      <c r="B453" s="12" t="n"/>
      <c r="C453" s="12" t="n"/>
      <c r="D453" s="12" t="n"/>
      <c r="E453" s="12" t="n"/>
    </row>
    <row r="454">
      <c r="B454" s="3" t="inlineStr">
        <is>
          <t>📋 주간 정산 입력  #26</t>
        </is>
      </c>
    </row>
    <row r="455">
      <c r="B455" s="4" t="inlineStr">
        <is>
          <t>월</t>
        </is>
      </c>
      <c r="C455" s="5" t="n"/>
      <c r="D455" s="6" t="inlineStr">
        <is>
          <t>← 1~12</t>
        </is>
      </c>
    </row>
    <row r="456">
      <c r="B456" s="4" t="inlineStr">
        <is>
          <t>주차</t>
        </is>
      </c>
      <c r="C456" s="5" t="n"/>
      <c r="D456" s="6" t="inlineStr">
        <is>
          <t>← 1~5</t>
        </is>
      </c>
    </row>
    <row r="457">
      <c r="B457" s="4" t="inlineStr">
        <is>
          <t>시작일</t>
        </is>
      </c>
      <c r="C457" s="7" t="n"/>
    </row>
    <row r="458">
      <c r="B458" s="4" t="inlineStr">
        <is>
          <t>종료일</t>
        </is>
      </c>
      <c r="C458" s="7" t="n"/>
    </row>
    <row r="459">
      <c r="B459" s="8" t="inlineStr">
        <is>
          <t>■ 매출</t>
        </is>
      </c>
      <c r="C459" s="9" t="n"/>
      <c r="D459" s="9" t="n"/>
    </row>
    <row r="460">
      <c r="B460" s="10" t="inlineStr">
        <is>
          <t>카드매출</t>
        </is>
      </c>
      <c r="C460" s="11" t="n"/>
      <c r="D460" s="6" t="inlineStr">
        <is>
          <t>원</t>
        </is>
      </c>
    </row>
    <row r="461">
      <c r="B461" s="10" t="inlineStr">
        <is>
          <t>현금매출</t>
        </is>
      </c>
      <c r="C461" s="11" t="n"/>
      <c r="D461" s="6" t="inlineStr">
        <is>
          <t>원</t>
        </is>
      </c>
    </row>
    <row r="462">
      <c r="B462" s="8" t="inlineStr">
        <is>
          <t>■ 공과금  (3주차에 지난달분 입력)</t>
        </is>
      </c>
      <c r="C462" s="9" t="n"/>
      <c r="D462" s="9" t="n"/>
    </row>
    <row r="463">
      <c r="B463" s="10" t="inlineStr">
        <is>
          <t>전기요금</t>
        </is>
      </c>
      <c r="C463" s="11" t="n"/>
      <c r="D463" s="6" t="inlineStr">
        <is>
          <t>원 (고지서 그대로)</t>
        </is>
      </c>
    </row>
    <row r="464">
      <c r="B464" s="10" t="inlineStr">
        <is>
          <t>가스요금</t>
        </is>
      </c>
      <c r="C464" s="11" t="n"/>
    </row>
    <row r="465">
      <c r="B465" s="10" t="inlineStr">
        <is>
          <t>수도요금</t>
        </is>
      </c>
      <c r="C465" s="11" t="n"/>
    </row>
    <row r="466">
      <c r="B466" s="8" t="inlineStr">
        <is>
          <t>■ 기타  (발생할 때만)</t>
        </is>
      </c>
      <c r="C466" s="9" t="n"/>
      <c r="D466" s="9" t="n"/>
    </row>
    <row r="467">
      <c r="B467" s="10" t="inlineStr">
        <is>
          <t>정화조 청소</t>
        </is>
      </c>
      <c r="C467" s="11" t="n"/>
    </row>
    <row r="468">
      <c r="B468" s="10" t="inlineStr">
        <is>
          <t>회식 연계매출</t>
        </is>
      </c>
      <c r="C468" s="11" t="n"/>
      <c r="D468" s="6" t="inlineStr">
        <is>
          <t>원 (재생전골 등)</t>
        </is>
      </c>
    </row>
    <row r="469">
      <c r="B469" s="10" t="inlineStr">
        <is>
          <t>기타비용</t>
        </is>
      </c>
      <c r="C469" s="11" t="n"/>
    </row>
    <row r="470">
      <c r="B470" s="10" t="inlineStr">
        <is>
          <t>비고</t>
        </is>
      </c>
      <c r="C470" s="7" t="n"/>
    </row>
    <row r="471">
      <c r="A471" s="12" t="n"/>
      <c r="B471" s="12" t="n"/>
      <c r="C471" s="12" t="n"/>
      <c r="D471" s="12" t="n"/>
      <c r="E471" s="12" t="n"/>
    </row>
    <row r="472">
      <c r="B472" s="3" t="inlineStr">
        <is>
          <t>📋 주간 정산 입력  #27</t>
        </is>
      </c>
    </row>
    <row r="473">
      <c r="B473" s="4" t="inlineStr">
        <is>
          <t>월</t>
        </is>
      </c>
      <c r="C473" s="5" t="n"/>
      <c r="D473" s="6" t="inlineStr">
        <is>
          <t>← 1~12</t>
        </is>
      </c>
    </row>
    <row r="474">
      <c r="B474" s="4" t="inlineStr">
        <is>
          <t>주차</t>
        </is>
      </c>
      <c r="C474" s="5" t="n"/>
      <c r="D474" s="6" t="inlineStr">
        <is>
          <t>← 1~5</t>
        </is>
      </c>
    </row>
    <row r="475">
      <c r="B475" s="4" t="inlineStr">
        <is>
          <t>시작일</t>
        </is>
      </c>
      <c r="C475" s="7" t="n"/>
    </row>
    <row r="476">
      <c r="B476" s="4" t="inlineStr">
        <is>
          <t>종료일</t>
        </is>
      </c>
      <c r="C476" s="7" t="n"/>
    </row>
    <row r="477">
      <c r="B477" s="8" t="inlineStr">
        <is>
          <t>■ 매출</t>
        </is>
      </c>
      <c r="C477" s="9" t="n"/>
      <c r="D477" s="9" t="n"/>
    </row>
    <row r="478">
      <c r="B478" s="10" t="inlineStr">
        <is>
          <t>카드매출</t>
        </is>
      </c>
      <c r="C478" s="11" t="n"/>
      <c r="D478" s="6" t="inlineStr">
        <is>
          <t>원</t>
        </is>
      </c>
    </row>
    <row r="479">
      <c r="B479" s="10" t="inlineStr">
        <is>
          <t>현금매출</t>
        </is>
      </c>
      <c r="C479" s="11" t="n"/>
      <c r="D479" s="6" t="inlineStr">
        <is>
          <t>원</t>
        </is>
      </c>
    </row>
    <row r="480">
      <c r="B480" s="8" t="inlineStr">
        <is>
          <t>■ 공과금  (3주차에 지난달분 입력)</t>
        </is>
      </c>
      <c r="C480" s="9" t="n"/>
      <c r="D480" s="9" t="n"/>
    </row>
    <row r="481">
      <c r="B481" s="10" t="inlineStr">
        <is>
          <t>전기요금</t>
        </is>
      </c>
      <c r="C481" s="11" t="n"/>
      <c r="D481" s="6" t="inlineStr">
        <is>
          <t>원 (고지서 그대로)</t>
        </is>
      </c>
    </row>
    <row r="482">
      <c r="B482" s="10" t="inlineStr">
        <is>
          <t>가스요금</t>
        </is>
      </c>
      <c r="C482" s="11" t="n"/>
    </row>
    <row r="483">
      <c r="B483" s="10" t="inlineStr">
        <is>
          <t>수도요금</t>
        </is>
      </c>
      <c r="C483" s="11" t="n"/>
    </row>
    <row r="484">
      <c r="B484" s="8" t="inlineStr">
        <is>
          <t>■ 기타  (발생할 때만)</t>
        </is>
      </c>
      <c r="C484" s="9" t="n"/>
      <c r="D484" s="9" t="n"/>
    </row>
    <row r="485">
      <c r="B485" s="10" t="inlineStr">
        <is>
          <t>정화조 청소</t>
        </is>
      </c>
      <c r="C485" s="11" t="n"/>
    </row>
    <row r="486">
      <c r="B486" s="10" t="inlineStr">
        <is>
          <t>회식 연계매출</t>
        </is>
      </c>
      <c r="C486" s="11" t="n"/>
      <c r="D486" s="6" t="inlineStr">
        <is>
          <t>원 (재생전골 등)</t>
        </is>
      </c>
    </row>
    <row r="487">
      <c r="B487" s="10" t="inlineStr">
        <is>
          <t>기타비용</t>
        </is>
      </c>
      <c r="C487" s="11" t="n"/>
    </row>
    <row r="488">
      <c r="B488" s="10" t="inlineStr">
        <is>
          <t>비고</t>
        </is>
      </c>
      <c r="C488" s="7" t="n"/>
    </row>
    <row r="489">
      <c r="A489" s="12" t="n"/>
      <c r="B489" s="12" t="n"/>
      <c r="C489" s="12" t="n"/>
      <c r="D489" s="12" t="n"/>
      <c r="E489" s="12" t="n"/>
    </row>
    <row r="490">
      <c r="B490" s="3" t="inlineStr">
        <is>
          <t>📋 주간 정산 입력  #28</t>
        </is>
      </c>
    </row>
    <row r="491">
      <c r="B491" s="4" t="inlineStr">
        <is>
          <t>월</t>
        </is>
      </c>
      <c r="C491" s="5" t="n"/>
      <c r="D491" s="6" t="inlineStr">
        <is>
          <t>← 1~12</t>
        </is>
      </c>
    </row>
    <row r="492">
      <c r="B492" s="4" t="inlineStr">
        <is>
          <t>주차</t>
        </is>
      </c>
      <c r="C492" s="5" t="n"/>
      <c r="D492" s="6" t="inlineStr">
        <is>
          <t>← 1~5</t>
        </is>
      </c>
    </row>
    <row r="493">
      <c r="B493" s="4" t="inlineStr">
        <is>
          <t>시작일</t>
        </is>
      </c>
      <c r="C493" s="7" t="n"/>
    </row>
    <row r="494">
      <c r="B494" s="4" t="inlineStr">
        <is>
          <t>종료일</t>
        </is>
      </c>
      <c r="C494" s="7" t="n"/>
    </row>
    <row r="495">
      <c r="B495" s="8" t="inlineStr">
        <is>
          <t>■ 매출</t>
        </is>
      </c>
      <c r="C495" s="9" t="n"/>
      <c r="D495" s="9" t="n"/>
    </row>
    <row r="496">
      <c r="B496" s="10" t="inlineStr">
        <is>
          <t>카드매출</t>
        </is>
      </c>
      <c r="C496" s="11" t="n"/>
      <c r="D496" s="6" t="inlineStr">
        <is>
          <t>원</t>
        </is>
      </c>
    </row>
    <row r="497">
      <c r="B497" s="10" t="inlineStr">
        <is>
          <t>현금매출</t>
        </is>
      </c>
      <c r="C497" s="11" t="n"/>
      <c r="D497" s="6" t="inlineStr">
        <is>
          <t>원</t>
        </is>
      </c>
    </row>
    <row r="498">
      <c r="B498" s="8" t="inlineStr">
        <is>
          <t>■ 공과금  (3주차에 지난달분 입력)</t>
        </is>
      </c>
      <c r="C498" s="9" t="n"/>
      <c r="D498" s="9" t="n"/>
    </row>
    <row r="499">
      <c r="B499" s="10" t="inlineStr">
        <is>
          <t>전기요금</t>
        </is>
      </c>
      <c r="C499" s="11" t="n"/>
      <c r="D499" s="6" t="inlineStr">
        <is>
          <t>원 (고지서 그대로)</t>
        </is>
      </c>
    </row>
    <row r="500">
      <c r="B500" s="10" t="inlineStr">
        <is>
          <t>가스요금</t>
        </is>
      </c>
      <c r="C500" s="11" t="n"/>
    </row>
    <row r="501">
      <c r="B501" s="10" t="inlineStr">
        <is>
          <t>수도요금</t>
        </is>
      </c>
      <c r="C501" s="11" t="n"/>
    </row>
    <row r="502">
      <c r="B502" s="8" t="inlineStr">
        <is>
          <t>■ 기타  (발생할 때만)</t>
        </is>
      </c>
      <c r="C502" s="9" t="n"/>
      <c r="D502" s="9" t="n"/>
    </row>
    <row r="503">
      <c r="B503" s="10" t="inlineStr">
        <is>
          <t>정화조 청소</t>
        </is>
      </c>
      <c r="C503" s="11" t="n"/>
    </row>
    <row r="504">
      <c r="B504" s="10" t="inlineStr">
        <is>
          <t>회식 연계매출</t>
        </is>
      </c>
      <c r="C504" s="11" t="n"/>
      <c r="D504" s="6" t="inlineStr">
        <is>
          <t>원 (재생전골 등)</t>
        </is>
      </c>
    </row>
    <row r="505">
      <c r="B505" s="10" t="inlineStr">
        <is>
          <t>기타비용</t>
        </is>
      </c>
      <c r="C505" s="11" t="n"/>
    </row>
    <row r="506">
      <c r="B506" s="10" t="inlineStr">
        <is>
          <t>비고</t>
        </is>
      </c>
      <c r="C506" s="7" t="n"/>
    </row>
    <row r="507">
      <c r="A507" s="12" t="n"/>
      <c r="B507" s="12" t="n"/>
      <c r="C507" s="12" t="n"/>
      <c r="D507" s="12" t="n"/>
      <c r="E507" s="12" t="n"/>
    </row>
    <row r="508">
      <c r="B508" s="3" t="inlineStr">
        <is>
          <t>📋 주간 정산 입력  #29</t>
        </is>
      </c>
    </row>
    <row r="509">
      <c r="B509" s="4" t="inlineStr">
        <is>
          <t>월</t>
        </is>
      </c>
      <c r="C509" s="5" t="n"/>
      <c r="D509" s="6" t="inlineStr">
        <is>
          <t>← 1~12</t>
        </is>
      </c>
    </row>
    <row r="510">
      <c r="B510" s="4" t="inlineStr">
        <is>
          <t>주차</t>
        </is>
      </c>
      <c r="C510" s="5" t="n"/>
      <c r="D510" s="6" t="inlineStr">
        <is>
          <t>← 1~5</t>
        </is>
      </c>
    </row>
    <row r="511">
      <c r="B511" s="4" t="inlineStr">
        <is>
          <t>시작일</t>
        </is>
      </c>
      <c r="C511" s="7" t="n"/>
    </row>
    <row r="512">
      <c r="B512" s="4" t="inlineStr">
        <is>
          <t>종료일</t>
        </is>
      </c>
      <c r="C512" s="7" t="n"/>
    </row>
    <row r="513">
      <c r="B513" s="8" t="inlineStr">
        <is>
          <t>■ 매출</t>
        </is>
      </c>
      <c r="C513" s="9" t="n"/>
      <c r="D513" s="9" t="n"/>
    </row>
    <row r="514">
      <c r="B514" s="10" t="inlineStr">
        <is>
          <t>카드매출</t>
        </is>
      </c>
      <c r="C514" s="11" t="n"/>
      <c r="D514" s="6" t="inlineStr">
        <is>
          <t>원</t>
        </is>
      </c>
    </row>
    <row r="515">
      <c r="B515" s="10" t="inlineStr">
        <is>
          <t>현금매출</t>
        </is>
      </c>
      <c r="C515" s="11" t="n"/>
      <c r="D515" s="6" t="inlineStr">
        <is>
          <t>원</t>
        </is>
      </c>
    </row>
    <row r="516">
      <c r="B516" s="8" t="inlineStr">
        <is>
          <t>■ 공과금  (3주차에 지난달분 입력)</t>
        </is>
      </c>
      <c r="C516" s="9" t="n"/>
      <c r="D516" s="9" t="n"/>
    </row>
    <row r="517">
      <c r="B517" s="10" t="inlineStr">
        <is>
          <t>전기요금</t>
        </is>
      </c>
      <c r="C517" s="11" t="n"/>
      <c r="D517" s="6" t="inlineStr">
        <is>
          <t>원 (고지서 그대로)</t>
        </is>
      </c>
    </row>
    <row r="518">
      <c r="B518" s="10" t="inlineStr">
        <is>
          <t>가스요금</t>
        </is>
      </c>
      <c r="C518" s="11" t="n"/>
    </row>
    <row r="519">
      <c r="B519" s="10" t="inlineStr">
        <is>
          <t>수도요금</t>
        </is>
      </c>
      <c r="C519" s="11" t="n"/>
    </row>
    <row r="520">
      <c r="B520" s="8" t="inlineStr">
        <is>
          <t>■ 기타  (발생할 때만)</t>
        </is>
      </c>
      <c r="C520" s="9" t="n"/>
      <c r="D520" s="9" t="n"/>
    </row>
    <row r="521">
      <c r="B521" s="10" t="inlineStr">
        <is>
          <t>정화조 청소</t>
        </is>
      </c>
      <c r="C521" s="11" t="n"/>
    </row>
    <row r="522">
      <c r="B522" s="10" t="inlineStr">
        <is>
          <t>회식 연계매출</t>
        </is>
      </c>
      <c r="C522" s="11" t="n"/>
      <c r="D522" s="6" t="inlineStr">
        <is>
          <t>원 (재생전골 등)</t>
        </is>
      </c>
    </row>
    <row r="523">
      <c r="B523" s="10" t="inlineStr">
        <is>
          <t>기타비용</t>
        </is>
      </c>
      <c r="C523" s="11" t="n"/>
    </row>
    <row r="524">
      <c r="B524" s="10" t="inlineStr">
        <is>
          <t>비고</t>
        </is>
      </c>
      <c r="C524" s="7" t="n"/>
    </row>
    <row r="525">
      <c r="A525" s="12" t="n"/>
      <c r="B525" s="12" t="n"/>
      <c r="C525" s="12" t="n"/>
      <c r="D525" s="12" t="n"/>
      <c r="E525" s="12" t="n"/>
    </row>
    <row r="526">
      <c r="B526" s="3" t="inlineStr">
        <is>
          <t>📋 주간 정산 입력  #30</t>
        </is>
      </c>
    </row>
    <row r="527">
      <c r="B527" s="4" t="inlineStr">
        <is>
          <t>월</t>
        </is>
      </c>
      <c r="C527" s="5" t="n"/>
      <c r="D527" s="6" t="inlineStr">
        <is>
          <t>← 1~12</t>
        </is>
      </c>
    </row>
    <row r="528">
      <c r="B528" s="4" t="inlineStr">
        <is>
          <t>주차</t>
        </is>
      </c>
      <c r="C528" s="5" t="n"/>
      <c r="D528" s="6" t="inlineStr">
        <is>
          <t>← 1~5</t>
        </is>
      </c>
    </row>
    <row r="529">
      <c r="B529" s="4" t="inlineStr">
        <is>
          <t>시작일</t>
        </is>
      </c>
      <c r="C529" s="7" t="n"/>
    </row>
    <row r="530">
      <c r="B530" s="4" t="inlineStr">
        <is>
          <t>종료일</t>
        </is>
      </c>
      <c r="C530" s="7" t="n"/>
    </row>
    <row r="531">
      <c r="B531" s="8" t="inlineStr">
        <is>
          <t>■ 매출</t>
        </is>
      </c>
      <c r="C531" s="9" t="n"/>
      <c r="D531" s="9" t="n"/>
    </row>
    <row r="532">
      <c r="B532" s="10" t="inlineStr">
        <is>
          <t>카드매출</t>
        </is>
      </c>
      <c r="C532" s="11" t="n"/>
      <c r="D532" s="6" t="inlineStr">
        <is>
          <t>원</t>
        </is>
      </c>
    </row>
    <row r="533">
      <c r="B533" s="10" t="inlineStr">
        <is>
          <t>현금매출</t>
        </is>
      </c>
      <c r="C533" s="11" t="n"/>
      <c r="D533" s="6" t="inlineStr">
        <is>
          <t>원</t>
        </is>
      </c>
    </row>
    <row r="534">
      <c r="B534" s="8" t="inlineStr">
        <is>
          <t>■ 공과금  (3주차에 지난달분 입력)</t>
        </is>
      </c>
      <c r="C534" s="9" t="n"/>
      <c r="D534" s="9" t="n"/>
    </row>
    <row r="535">
      <c r="B535" s="10" t="inlineStr">
        <is>
          <t>전기요금</t>
        </is>
      </c>
      <c r="C535" s="11" t="n"/>
      <c r="D535" s="6" t="inlineStr">
        <is>
          <t>원 (고지서 그대로)</t>
        </is>
      </c>
    </row>
    <row r="536">
      <c r="B536" s="10" t="inlineStr">
        <is>
          <t>가스요금</t>
        </is>
      </c>
      <c r="C536" s="11" t="n"/>
    </row>
    <row r="537">
      <c r="B537" s="10" t="inlineStr">
        <is>
          <t>수도요금</t>
        </is>
      </c>
      <c r="C537" s="11" t="n"/>
    </row>
    <row r="538">
      <c r="B538" s="8" t="inlineStr">
        <is>
          <t>■ 기타  (발생할 때만)</t>
        </is>
      </c>
      <c r="C538" s="9" t="n"/>
      <c r="D538" s="9" t="n"/>
    </row>
    <row r="539">
      <c r="B539" s="10" t="inlineStr">
        <is>
          <t>정화조 청소</t>
        </is>
      </c>
      <c r="C539" s="11" t="n"/>
    </row>
    <row r="540">
      <c r="B540" s="10" t="inlineStr">
        <is>
          <t>회식 연계매출</t>
        </is>
      </c>
      <c r="C540" s="11" t="n"/>
      <c r="D540" s="6" t="inlineStr">
        <is>
          <t>원 (재생전골 등)</t>
        </is>
      </c>
    </row>
    <row r="541">
      <c r="B541" s="10" t="inlineStr">
        <is>
          <t>기타비용</t>
        </is>
      </c>
      <c r="C541" s="11" t="n"/>
    </row>
    <row r="542">
      <c r="B542" s="10" t="inlineStr">
        <is>
          <t>비고</t>
        </is>
      </c>
      <c r="C542" s="7" t="n"/>
    </row>
    <row r="543">
      <c r="A543" s="12" t="n"/>
      <c r="B543" s="12" t="n"/>
      <c r="C543" s="12" t="n"/>
      <c r="D543" s="12" t="n"/>
      <c r="E543" s="12" t="n"/>
    </row>
    <row r="544">
      <c r="B544" s="3" t="inlineStr">
        <is>
          <t>📋 주간 정산 입력  #31</t>
        </is>
      </c>
    </row>
    <row r="545">
      <c r="B545" s="4" t="inlineStr">
        <is>
          <t>월</t>
        </is>
      </c>
      <c r="C545" s="5" t="n"/>
      <c r="D545" s="6" t="inlineStr">
        <is>
          <t>← 1~12</t>
        </is>
      </c>
    </row>
    <row r="546">
      <c r="B546" s="4" t="inlineStr">
        <is>
          <t>주차</t>
        </is>
      </c>
      <c r="C546" s="5" t="n"/>
      <c r="D546" s="6" t="inlineStr">
        <is>
          <t>← 1~5</t>
        </is>
      </c>
    </row>
    <row r="547">
      <c r="B547" s="4" t="inlineStr">
        <is>
          <t>시작일</t>
        </is>
      </c>
      <c r="C547" s="7" t="n"/>
    </row>
    <row r="548">
      <c r="B548" s="4" t="inlineStr">
        <is>
          <t>종료일</t>
        </is>
      </c>
      <c r="C548" s="7" t="n"/>
    </row>
    <row r="549">
      <c r="B549" s="8" t="inlineStr">
        <is>
          <t>■ 매출</t>
        </is>
      </c>
      <c r="C549" s="9" t="n"/>
      <c r="D549" s="9" t="n"/>
    </row>
    <row r="550">
      <c r="B550" s="10" t="inlineStr">
        <is>
          <t>카드매출</t>
        </is>
      </c>
      <c r="C550" s="11" t="n"/>
      <c r="D550" s="6" t="inlineStr">
        <is>
          <t>원</t>
        </is>
      </c>
    </row>
    <row r="551">
      <c r="B551" s="10" t="inlineStr">
        <is>
          <t>현금매출</t>
        </is>
      </c>
      <c r="C551" s="11" t="n"/>
      <c r="D551" s="6" t="inlineStr">
        <is>
          <t>원</t>
        </is>
      </c>
    </row>
    <row r="552">
      <c r="B552" s="8" t="inlineStr">
        <is>
          <t>■ 공과금  (3주차에 지난달분 입력)</t>
        </is>
      </c>
      <c r="C552" s="9" t="n"/>
      <c r="D552" s="9" t="n"/>
    </row>
    <row r="553">
      <c r="B553" s="10" t="inlineStr">
        <is>
          <t>전기요금</t>
        </is>
      </c>
      <c r="C553" s="11" t="n"/>
      <c r="D553" s="6" t="inlineStr">
        <is>
          <t>원 (고지서 그대로)</t>
        </is>
      </c>
    </row>
    <row r="554">
      <c r="B554" s="10" t="inlineStr">
        <is>
          <t>가스요금</t>
        </is>
      </c>
      <c r="C554" s="11" t="n"/>
    </row>
    <row r="555">
      <c r="B555" s="10" t="inlineStr">
        <is>
          <t>수도요금</t>
        </is>
      </c>
      <c r="C555" s="11" t="n"/>
    </row>
    <row r="556">
      <c r="B556" s="8" t="inlineStr">
        <is>
          <t>■ 기타  (발생할 때만)</t>
        </is>
      </c>
      <c r="C556" s="9" t="n"/>
      <c r="D556" s="9" t="n"/>
    </row>
    <row r="557">
      <c r="B557" s="10" t="inlineStr">
        <is>
          <t>정화조 청소</t>
        </is>
      </c>
      <c r="C557" s="11" t="n"/>
    </row>
    <row r="558">
      <c r="B558" s="10" t="inlineStr">
        <is>
          <t>회식 연계매출</t>
        </is>
      </c>
      <c r="C558" s="11" t="n"/>
      <c r="D558" s="6" t="inlineStr">
        <is>
          <t>원 (재생전골 등)</t>
        </is>
      </c>
    </row>
    <row r="559">
      <c r="B559" s="10" t="inlineStr">
        <is>
          <t>기타비용</t>
        </is>
      </c>
      <c r="C559" s="11" t="n"/>
    </row>
    <row r="560">
      <c r="B560" s="10" t="inlineStr">
        <is>
          <t>비고</t>
        </is>
      </c>
      <c r="C560" s="7" t="n"/>
    </row>
    <row r="561">
      <c r="A561" s="12" t="n"/>
      <c r="B561" s="12" t="n"/>
      <c r="C561" s="12" t="n"/>
      <c r="D561" s="12" t="n"/>
      <c r="E561" s="12" t="n"/>
    </row>
    <row r="562">
      <c r="B562" s="3" t="inlineStr">
        <is>
          <t>📋 주간 정산 입력  #32</t>
        </is>
      </c>
    </row>
    <row r="563">
      <c r="B563" s="4" t="inlineStr">
        <is>
          <t>월</t>
        </is>
      </c>
      <c r="C563" s="5" t="n"/>
      <c r="D563" s="6" t="inlineStr">
        <is>
          <t>← 1~12</t>
        </is>
      </c>
    </row>
    <row r="564">
      <c r="B564" s="4" t="inlineStr">
        <is>
          <t>주차</t>
        </is>
      </c>
      <c r="C564" s="5" t="n"/>
      <c r="D564" s="6" t="inlineStr">
        <is>
          <t>← 1~5</t>
        </is>
      </c>
    </row>
    <row r="565">
      <c r="B565" s="4" t="inlineStr">
        <is>
          <t>시작일</t>
        </is>
      </c>
      <c r="C565" s="7" t="n"/>
    </row>
    <row r="566">
      <c r="B566" s="4" t="inlineStr">
        <is>
          <t>종료일</t>
        </is>
      </c>
      <c r="C566" s="7" t="n"/>
    </row>
    <row r="567">
      <c r="B567" s="8" t="inlineStr">
        <is>
          <t>■ 매출</t>
        </is>
      </c>
      <c r="C567" s="9" t="n"/>
      <c r="D567" s="9" t="n"/>
    </row>
    <row r="568">
      <c r="B568" s="10" t="inlineStr">
        <is>
          <t>카드매출</t>
        </is>
      </c>
      <c r="C568" s="11" t="n"/>
      <c r="D568" s="6" t="inlineStr">
        <is>
          <t>원</t>
        </is>
      </c>
    </row>
    <row r="569">
      <c r="B569" s="10" t="inlineStr">
        <is>
          <t>현금매출</t>
        </is>
      </c>
      <c r="C569" s="11" t="n"/>
      <c r="D569" s="6" t="inlineStr">
        <is>
          <t>원</t>
        </is>
      </c>
    </row>
    <row r="570">
      <c r="B570" s="8" t="inlineStr">
        <is>
          <t>■ 공과금  (3주차에 지난달분 입력)</t>
        </is>
      </c>
      <c r="C570" s="9" t="n"/>
      <c r="D570" s="9" t="n"/>
    </row>
    <row r="571">
      <c r="B571" s="10" t="inlineStr">
        <is>
          <t>전기요금</t>
        </is>
      </c>
      <c r="C571" s="11" t="n"/>
      <c r="D571" s="6" t="inlineStr">
        <is>
          <t>원 (고지서 그대로)</t>
        </is>
      </c>
    </row>
    <row r="572">
      <c r="B572" s="10" t="inlineStr">
        <is>
          <t>가스요금</t>
        </is>
      </c>
      <c r="C572" s="11" t="n"/>
    </row>
    <row r="573">
      <c r="B573" s="10" t="inlineStr">
        <is>
          <t>수도요금</t>
        </is>
      </c>
      <c r="C573" s="11" t="n"/>
    </row>
    <row r="574">
      <c r="B574" s="8" t="inlineStr">
        <is>
          <t>■ 기타  (발생할 때만)</t>
        </is>
      </c>
      <c r="C574" s="9" t="n"/>
      <c r="D574" s="9" t="n"/>
    </row>
    <row r="575">
      <c r="B575" s="10" t="inlineStr">
        <is>
          <t>정화조 청소</t>
        </is>
      </c>
      <c r="C575" s="11" t="n"/>
    </row>
    <row r="576">
      <c r="B576" s="10" t="inlineStr">
        <is>
          <t>회식 연계매출</t>
        </is>
      </c>
      <c r="C576" s="11" t="n"/>
      <c r="D576" s="6" t="inlineStr">
        <is>
          <t>원 (재생전골 등)</t>
        </is>
      </c>
    </row>
    <row r="577">
      <c r="B577" s="10" t="inlineStr">
        <is>
          <t>기타비용</t>
        </is>
      </c>
      <c r="C577" s="11" t="n"/>
    </row>
    <row r="578">
      <c r="B578" s="10" t="inlineStr">
        <is>
          <t>비고</t>
        </is>
      </c>
      <c r="C578" s="7" t="n"/>
    </row>
    <row r="579">
      <c r="A579" s="12" t="n"/>
      <c r="B579" s="12" t="n"/>
      <c r="C579" s="12" t="n"/>
      <c r="D579" s="12" t="n"/>
      <c r="E579" s="12" t="n"/>
    </row>
    <row r="580">
      <c r="B580" s="3" t="inlineStr">
        <is>
          <t>📋 주간 정산 입력  #33</t>
        </is>
      </c>
    </row>
    <row r="581">
      <c r="B581" s="4" t="inlineStr">
        <is>
          <t>월</t>
        </is>
      </c>
      <c r="C581" s="5" t="n"/>
      <c r="D581" s="6" t="inlineStr">
        <is>
          <t>← 1~12</t>
        </is>
      </c>
    </row>
    <row r="582">
      <c r="B582" s="4" t="inlineStr">
        <is>
          <t>주차</t>
        </is>
      </c>
      <c r="C582" s="5" t="n"/>
      <c r="D582" s="6" t="inlineStr">
        <is>
          <t>← 1~5</t>
        </is>
      </c>
    </row>
    <row r="583">
      <c r="B583" s="4" t="inlineStr">
        <is>
          <t>시작일</t>
        </is>
      </c>
      <c r="C583" s="7" t="n"/>
    </row>
    <row r="584">
      <c r="B584" s="4" t="inlineStr">
        <is>
          <t>종료일</t>
        </is>
      </c>
      <c r="C584" s="7" t="n"/>
    </row>
    <row r="585">
      <c r="B585" s="8" t="inlineStr">
        <is>
          <t>■ 매출</t>
        </is>
      </c>
      <c r="C585" s="9" t="n"/>
      <c r="D585" s="9" t="n"/>
    </row>
    <row r="586">
      <c r="B586" s="10" t="inlineStr">
        <is>
          <t>카드매출</t>
        </is>
      </c>
      <c r="C586" s="11" t="n"/>
      <c r="D586" s="6" t="inlineStr">
        <is>
          <t>원</t>
        </is>
      </c>
    </row>
    <row r="587">
      <c r="B587" s="10" t="inlineStr">
        <is>
          <t>현금매출</t>
        </is>
      </c>
      <c r="C587" s="11" t="n"/>
      <c r="D587" s="6" t="inlineStr">
        <is>
          <t>원</t>
        </is>
      </c>
    </row>
    <row r="588">
      <c r="B588" s="8" t="inlineStr">
        <is>
          <t>■ 공과금  (3주차에 지난달분 입력)</t>
        </is>
      </c>
      <c r="C588" s="9" t="n"/>
      <c r="D588" s="9" t="n"/>
    </row>
    <row r="589">
      <c r="B589" s="10" t="inlineStr">
        <is>
          <t>전기요금</t>
        </is>
      </c>
      <c r="C589" s="11" t="n"/>
      <c r="D589" s="6" t="inlineStr">
        <is>
          <t>원 (고지서 그대로)</t>
        </is>
      </c>
    </row>
    <row r="590">
      <c r="B590" s="10" t="inlineStr">
        <is>
          <t>가스요금</t>
        </is>
      </c>
      <c r="C590" s="11" t="n"/>
    </row>
    <row r="591">
      <c r="B591" s="10" t="inlineStr">
        <is>
          <t>수도요금</t>
        </is>
      </c>
      <c r="C591" s="11" t="n"/>
    </row>
    <row r="592">
      <c r="B592" s="8" t="inlineStr">
        <is>
          <t>■ 기타  (발생할 때만)</t>
        </is>
      </c>
      <c r="C592" s="9" t="n"/>
      <c r="D592" s="9" t="n"/>
    </row>
    <row r="593">
      <c r="B593" s="10" t="inlineStr">
        <is>
          <t>정화조 청소</t>
        </is>
      </c>
      <c r="C593" s="11" t="n"/>
    </row>
    <row r="594">
      <c r="B594" s="10" t="inlineStr">
        <is>
          <t>회식 연계매출</t>
        </is>
      </c>
      <c r="C594" s="11" t="n"/>
      <c r="D594" s="6" t="inlineStr">
        <is>
          <t>원 (재생전골 등)</t>
        </is>
      </c>
    </row>
    <row r="595">
      <c r="B595" s="10" t="inlineStr">
        <is>
          <t>기타비용</t>
        </is>
      </c>
      <c r="C595" s="11" t="n"/>
    </row>
    <row r="596">
      <c r="B596" s="10" t="inlineStr">
        <is>
          <t>비고</t>
        </is>
      </c>
      <c r="C596" s="7" t="n"/>
    </row>
    <row r="597">
      <c r="A597" s="12" t="n"/>
      <c r="B597" s="12" t="n"/>
      <c r="C597" s="12" t="n"/>
      <c r="D597" s="12" t="n"/>
      <c r="E597" s="12" t="n"/>
    </row>
    <row r="598">
      <c r="B598" s="3" t="inlineStr">
        <is>
          <t>📋 주간 정산 입력  #34</t>
        </is>
      </c>
    </row>
    <row r="599">
      <c r="B599" s="4" t="inlineStr">
        <is>
          <t>월</t>
        </is>
      </c>
      <c r="C599" s="5" t="n"/>
      <c r="D599" s="6" t="inlineStr">
        <is>
          <t>← 1~12</t>
        </is>
      </c>
    </row>
    <row r="600">
      <c r="B600" s="4" t="inlineStr">
        <is>
          <t>주차</t>
        </is>
      </c>
      <c r="C600" s="5" t="n"/>
      <c r="D600" s="6" t="inlineStr">
        <is>
          <t>← 1~5</t>
        </is>
      </c>
    </row>
    <row r="601">
      <c r="B601" s="4" t="inlineStr">
        <is>
          <t>시작일</t>
        </is>
      </c>
      <c r="C601" s="7" t="n"/>
    </row>
    <row r="602">
      <c r="B602" s="4" t="inlineStr">
        <is>
          <t>종료일</t>
        </is>
      </c>
      <c r="C602" s="7" t="n"/>
    </row>
    <row r="603">
      <c r="B603" s="8" t="inlineStr">
        <is>
          <t>■ 매출</t>
        </is>
      </c>
      <c r="C603" s="9" t="n"/>
      <c r="D603" s="9" t="n"/>
    </row>
    <row r="604">
      <c r="B604" s="10" t="inlineStr">
        <is>
          <t>카드매출</t>
        </is>
      </c>
      <c r="C604" s="11" t="n"/>
      <c r="D604" s="6" t="inlineStr">
        <is>
          <t>원</t>
        </is>
      </c>
    </row>
    <row r="605">
      <c r="B605" s="10" t="inlineStr">
        <is>
          <t>현금매출</t>
        </is>
      </c>
      <c r="C605" s="11" t="n"/>
      <c r="D605" s="6" t="inlineStr">
        <is>
          <t>원</t>
        </is>
      </c>
    </row>
    <row r="606">
      <c r="B606" s="8" t="inlineStr">
        <is>
          <t>■ 공과금  (3주차에 지난달분 입력)</t>
        </is>
      </c>
      <c r="C606" s="9" t="n"/>
      <c r="D606" s="9" t="n"/>
    </row>
    <row r="607">
      <c r="B607" s="10" t="inlineStr">
        <is>
          <t>전기요금</t>
        </is>
      </c>
      <c r="C607" s="11" t="n"/>
      <c r="D607" s="6" t="inlineStr">
        <is>
          <t>원 (고지서 그대로)</t>
        </is>
      </c>
    </row>
    <row r="608">
      <c r="B608" s="10" t="inlineStr">
        <is>
          <t>가스요금</t>
        </is>
      </c>
      <c r="C608" s="11" t="n"/>
    </row>
    <row r="609">
      <c r="B609" s="10" t="inlineStr">
        <is>
          <t>수도요금</t>
        </is>
      </c>
      <c r="C609" s="11" t="n"/>
    </row>
    <row r="610">
      <c r="B610" s="8" t="inlineStr">
        <is>
          <t>■ 기타  (발생할 때만)</t>
        </is>
      </c>
      <c r="C610" s="9" t="n"/>
      <c r="D610" s="9" t="n"/>
    </row>
    <row r="611">
      <c r="B611" s="10" t="inlineStr">
        <is>
          <t>정화조 청소</t>
        </is>
      </c>
      <c r="C611" s="11" t="n"/>
    </row>
    <row r="612">
      <c r="B612" s="10" t="inlineStr">
        <is>
          <t>회식 연계매출</t>
        </is>
      </c>
      <c r="C612" s="11" t="n"/>
      <c r="D612" s="6" t="inlineStr">
        <is>
          <t>원 (재생전골 등)</t>
        </is>
      </c>
    </row>
    <row r="613">
      <c r="B613" s="10" t="inlineStr">
        <is>
          <t>기타비용</t>
        </is>
      </c>
      <c r="C613" s="11" t="n"/>
    </row>
    <row r="614">
      <c r="B614" s="10" t="inlineStr">
        <is>
          <t>비고</t>
        </is>
      </c>
      <c r="C614" s="7" t="n"/>
    </row>
    <row r="615">
      <c r="A615" s="12" t="n"/>
      <c r="B615" s="12" t="n"/>
      <c r="C615" s="12" t="n"/>
      <c r="D615" s="12" t="n"/>
      <c r="E615" s="12" t="n"/>
    </row>
    <row r="616">
      <c r="B616" s="3" t="inlineStr">
        <is>
          <t>📋 주간 정산 입력  #35</t>
        </is>
      </c>
    </row>
    <row r="617">
      <c r="B617" s="4" t="inlineStr">
        <is>
          <t>월</t>
        </is>
      </c>
      <c r="C617" s="5" t="n"/>
      <c r="D617" s="6" t="inlineStr">
        <is>
          <t>← 1~12</t>
        </is>
      </c>
    </row>
    <row r="618">
      <c r="B618" s="4" t="inlineStr">
        <is>
          <t>주차</t>
        </is>
      </c>
      <c r="C618" s="5" t="n"/>
      <c r="D618" s="6" t="inlineStr">
        <is>
          <t>← 1~5</t>
        </is>
      </c>
    </row>
    <row r="619">
      <c r="B619" s="4" t="inlineStr">
        <is>
          <t>시작일</t>
        </is>
      </c>
      <c r="C619" s="7" t="n"/>
    </row>
    <row r="620">
      <c r="B620" s="4" t="inlineStr">
        <is>
          <t>종료일</t>
        </is>
      </c>
      <c r="C620" s="7" t="n"/>
    </row>
    <row r="621">
      <c r="B621" s="8" t="inlineStr">
        <is>
          <t>■ 매출</t>
        </is>
      </c>
      <c r="C621" s="9" t="n"/>
      <c r="D621" s="9" t="n"/>
    </row>
    <row r="622">
      <c r="B622" s="10" t="inlineStr">
        <is>
          <t>카드매출</t>
        </is>
      </c>
      <c r="C622" s="11" t="n"/>
      <c r="D622" s="6" t="inlineStr">
        <is>
          <t>원</t>
        </is>
      </c>
    </row>
    <row r="623">
      <c r="B623" s="10" t="inlineStr">
        <is>
          <t>현금매출</t>
        </is>
      </c>
      <c r="C623" s="11" t="n"/>
      <c r="D623" s="6" t="inlineStr">
        <is>
          <t>원</t>
        </is>
      </c>
    </row>
    <row r="624">
      <c r="B624" s="8" t="inlineStr">
        <is>
          <t>■ 공과금  (3주차에 지난달분 입력)</t>
        </is>
      </c>
      <c r="C624" s="9" t="n"/>
      <c r="D624" s="9" t="n"/>
    </row>
    <row r="625">
      <c r="B625" s="10" t="inlineStr">
        <is>
          <t>전기요금</t>
        </is>
      </c>
      <c r="C625" s="11" t="n"/>
      <c r="D625" s="6" t="inlineStr">
        <is>
          <t>원 (고지서 그대로)</t>
        </is>
      </c>
    </row>
    <row r="626">
      <c r="B626" s="10" t="inlineStr">
        <is>
          <t>가스요금</t>
        </is>
      </c>
      <c r="C626" s="11" t="n"/>
    </row>
    <row r="627">
      <c r="B627" s="10" t="inlineStr">
        <is>
          <t>수도요금</t>
        </is>
      </c>
      <c r="C627" s="11" t="n"/>
    </row>
    <row r="628">
      <c r="B628" s="8" t="inlineStr">
        <is>
          <t>■ 기타  (발생할 때만)</t>
        </is>
      </c>
      <c r="C628" s="9" t="n"/>
      <c r="D628" s="9" t="n"/>
    </row>
    <row r="629">
      <c r="B629" s="10" t="inlineStr">
        <is>
          <t>정화조 청소</t>
        </is>
      </c>
      <c r="C629" s="11" t="n"/>
    </row>
    <row r="630">
      <c r="B630" s="10" t="inlineStr">
        <is>
          <t>회식 연계매출</t>
        </is>
      </c>
      <c r="C630" s="11" t="n"/>
      <c r="D630" s="6" t="inlineStr">
        <is>
          <t>원 (재생전골 등)</t>
        </is>
      </c>
    </row>
    <row r="631">
      <c r="B631" s="10" t="inlineStr">
        <is>
          <t>기타비용</t>
        </is>
      </c>
      <c r="C631" s="11" t="n"/>
    </row>
    <row r="632">
      <c r="B632" s="10" t="inlineStr">
        <is>
          <t>비고</t>
        </is>
      </c>
      <c r="C632" s="7" t="n"/>
    </row>
    <row r="633">
      <c r="A633" s="12" t="n"/>
      <c r="B633" s="12" t="n"/>
      <c r="C633" s="12" t="n"/>
      <c r="D633" s="12" t="n"/>
      <c r="E633" s="12" t="n"/>
    </row>
    <row r="634">
      <c r="B634" s="3" t="inlineStr">
        <is>
          <t>📋 주간 정산 입력  #36</t>
        </is>
      </c>
    </row>
    <row r="635">
      <c r="B635" s="4" t="inlineStr">
        <is>
          <t>월</t>
        </is>
      </c>
      <c r="C635" s="5" t="n"/>
      <c r="D635" s="6" t="inlineStr">
        <is>
          <t>← 1~12</t>
        </is>
      </c>
    </row>
    <row r="636">
      <c r="B636" s="4" t="inlineStr">
        <is>
          <t>주차</t>
        </is>
      </c>
      <c r="C636" s="5" t="n"/>
      <c r="D636" s="6" t="inlineStr">
        <is>
          <t>← 1~5</t>
        </is>
      </c>
    </row>
    <row r="637">
      <c r="B637" s="4" t="inlineStr">
        <is>
          <t>시작일</t>
        </is>
      </c>
      <c r="C637" s="7" t="n"/>
    </row>
    <row r="638">
      <c r="B638" s="4" t="inlineStr">
        <is>
          <t>종료일</t>
        </is>
      </c>
      <c r="C638" s="7" t="n"/>
    </row>
    <row r="639">
      <c r="B639" s="8" t="inlineStr">
        <is>
          <t>■ 매출</t>
        </is>
      </c>
      <c r="C639" s="9" t="n"/>
      <c r="D639" s="9" t="n"/>
    </row>
    <row r="640">
      <c r="B640" s="10" t="inlineStr">
        <is>
          <t>카드매출</t>
        </is>
      </c>
      <c r="C640" s="11" t="n"/>
      <c r="D640" s="6" t="inlineStr">
        <is>
          <t>원</t>
        </is>
      </c>
    </row>
    <row r="641">
      <c r="B641" s="10" t="inlineStr">
        <is>
          <t>현금매출</t>
        </is>
      </c>
      <c r="C641" s="11" t="n"/>
      <c r="D641" s="6" t="inlineStr">
        <is>
          <t>원</t>
        </is>
      </c>
    </row>
    <row r="642">
      <c r="B642" s="8" t="inlineStr">
        <is>
          <t>■ 공과금  (3주차에 지난달분 입력)</t>
        </is>
      </c>
      <c r="C642" s="9" t="n"/>
      <c r="D642" s="9" t="n"/>
    </row>
    <row r="643">
      <c r="B643" s="10" t="inlineStr">
        <is>
          <t>전기요금</t>
        </is>
      </c>
      <c r="C643" s="11" t="n"/>
      <c r="D643" s="6" t="inlineStr">
        <is>
          <t>원 (고지서 그대로)</t>
        </is>
      </c>
    </row>
    <row r="644">
      <c r="B644" s="10" t="inlineStr">
        <is>
          <t>가스요금</t>
        </is>
      </c>
      <c r="C644" s="11" t="n"/>
    </row>
    <row r="645">
      <c r="B645" s="10" t="inlineStr">
        <is>
          <t>수도요금</t>
        </is>
      </c>
      <c r="C645" s="11" t="n"/>
    </row>
    <row r="646">
      <c r="B646" s="8" t="inlineStr">
        <is>
          <t>■ 기타  (발생할 때만)</t>
        </is>
      </c>
      <c r="C646" s="9" t="n"/>
      <c r="D646" s="9" t="n"/>
    </row>
    <row r="647">
      <c r="B647" s="10" t="inlineStr">
        <is>
          <t>정화조 청소</t>
        </is>
      </c>
      <c r="C647" s="11" t="n"/>
    </row>
    <row r="648">
      <c r="B648" s="10" t="inlineStr">
        <is>
          <t>회식 연계매출</t>
        </is>
      </c>
      <c r="C648" s="11" t="n"/>
      <c r="D648" s="6" t="inlineStr">
        <is>
          <t>원 (재생전골 등)</t>
        </is>
      </c>
    </row>
    <row r="649">
      <c r="B649" s="10" t="inlineStr">
        <is>
          <t>기타비용</t>
        </is>
      </c>
      <c r="C649" s="11" t="n"/>
    </row>
    <row r="650">
      <c r="B650" s="10" t="inlineStr">
        <is>
          <t>비고</t>
        </is>
      </c>
      <c r="C650" s="7" t="n"/>
    </row>
    <row r="651">
      <c r="A651" s="12" t="n"/>
      <c r="B651" s="12" t="n"/>
      <c r="C651" s="12" t="n"/>
      <c r="D651" s="12" t="n"/>
      <c r="E651" s="12" t="n"/>
    </row>
    <row r="652">
      <c r="B652" s="3" t="inlineStr">
        <is>
          <t>📋 주간 정산 입력  #37</t>
        </is>
      </c>
    </row>
    <row r="653">
      <c r="B653" s="4" t="inlineStr">
        <is>
          <t>월</t>
        </is>
      </c>
      <c r="C653" s="5" t="n"/>
      <c r="D653" s="6" t="inlineStr">
        <is>
          <t>← 1~12</t>
        </is>
      </c>
    </row>
    <row r="654">
      <c r="B654" s="4" t="inlineStr">
        <is>
          <t>주차</t>
        </is>
      </c>
      <c r="C654" s="5" t="n"/>
      <c r="D654" s="6" t="inlineStr">
        <is>
          <t>← 1~5</t>
        </is>
      </c>
    </row>
    <row r="655">
      <c r="B655" s="4" t="inlineStr">
        <is>
          <t>시작일</t>
        </is>
      </c>
      <c r="C655" s="7" t="n"/>
    </row>
    <row r="656">
      <c r="B656" s="4" t="inlineStr">
        <is>
          <t>종료일</t>
        </is>
      </c>
      <c r="C656" s="7" t="n"/>
    </row>
    <row r="657">
      <c r="B657" s="8" t="inlineStr">
        <is>
          <t>■ 매출</t>
        </is>
      </c>
      <c r="C657" s="9" t="n"/>
      <c r="D657" s="9" t="n"/>
    </row>
    <row r="658">
      <c r="B658" s="10" t="inlineStr">
        <is>
          <t>카드매출</t>
        </is>
      </c>
      <c r="C658" s="11" t="n"/>
      <c r="D658" s="6" t="inlineStr">
        <is>
          <t>원</t>
        </is>
      </c>
    </row>
    <row r="659">
      <c r="B659" s="10" t="inlineStr">
        <is>
          <t>현금매출</t>
        </is>
      </c>
      <c r="C659" s="11" t="n"/>
      <c r="D659" s="6" t="inlineStr">
        <is>
          <t>원</t>
        </is>
      </c>
    </row>
    <row r="660">
      <c r="B660" s="8" t="inlineStr">
        <is>
          <t>■ 공과금  (3주차에 지난달분 입력)</t>
        </is>
      </c>
      <c r="C660" s="9" t="n"/>
      <c r="D660" s="9" t="n"/>
    </row>
    <row r="661">
      <c r="B661" s="10" t="inlineStr">
        <is>
          <t>전기요금</t>
        </is>
      </c>
      <c r="C661" s="11" t="n"/>
      <c r="D661" s="6" t="inlineStr">
        <is>
          <t>원 (고지서 그대로)</t>
        </is>
      </c>
    </row>
    <row r="662">
      <c r="B662" s="10" t="inlineStr">
        <is>
          <t>가스요금</t>
        </is>
      </c>
      <c r="C662" s="11" t="n"/>
    </row>
    <row r="663">
      <c r="B663" s="10" t="inlineStr">
        <is>
          <t>수도요금</t>
        </is>
      </c>
      <c r="C663" s="11" t="n"/>
    </row>
    <row r="664">
      <c r="B664" s="8" t="inlineStr">
        <is>
          <t>■ 기타  (발생할 때만)</t>
        </is>
      </c>
      <c r="C664" s="9" t="n"/>
      <c r="D664" s="9" t="n"/>
    </row>
    <row r="665">
      <c r="B665" s="10" t="inlineStr">
        <is>
          <t>정화조 청소</t>
        </is>
      </c>
      <c r="C665" s="11" t="n"/>
    </row>
    <row r="666">
      <c r="B666" s="10" t="inlineStr">
        <is>
          <t>회식 연계매출</t>
        </is>
      </c>
      <c r="C666" s="11" t="n"/>
      <c r="D666" s="6" t="inlineStr">
        <is>
          <t>원 (재생전골 등)</t>
        </is>
      </c>
    </row>
    <row r="667">
      <c r="B667" s="10" t="inlineStr">
        <is>
          <t>기타비용</t>
        </is>
      </c>
      <c r="C667" s="11" t="n"/>
    </row>
    <row r="668">
      <c r="B668" s="10" t="inlineStr">
        <is>
          <t>비고</t>
        </is>
      </c>
      <c r="C668" s="7" t="n"/>
    </row>
    <row r="669">
      <c r="A669" s="12" t="n"/>
      <c r="B669" s="12" t="n"/>
      <c r="C669" s="12" t="n"/>
      <c r="D669" s="12" t="n"/>
      <c r="E669" s="12" t="n"/>
    </row>
    <row r="670">
      <c r="B670" s="3" t="inlineStr">
        <is>
          <t>📋 주간 정산 입력  #38</t>
        </is>
      </c>
    </row>
    <row r="671">
      <c r="B671" s="4" t="inlineStr">
        <is>
          <t>월</t>
        </is>
      </c>
      <c r="C671" s="5" t="n"/>
      <c r="D671" s="6" t="inlineStr">
        <is>
          <t>← 1~12</t>
        </is>
      </c>
    </row>
    <row r="672">
      <c r="B672" s="4" t="inlineStr">
        <is>
          <t>주차</t>
        </is>
      </c>
      <c r="C672" s="5" t="n"/>
      <c r="D672" s="6" t="inlineStr">
        <is>
          <t>← 1~5</t>
        </is>
      </c>
    </row>
    <row r="673">
      <c r="B673" s="4" t="inlineStr">
        <is>
          <t>시작일</t>
        </is>
      </c>
      <c r="C673" s="7" t="n"/>
    </row>
    <row r="674">
      <c r="B674" s="4" t="inlineStr">
        <is>
          <t>종료일</t>
        </is>
      </c>
      <c r="C674" s="7" t="n"/>
    </row>
    <row r="675">
      <c r="B675" s="8" t="inlineStr">
        <is>
          <t>■ 매출</t>
        </is>
      </c>
      <c r="C675" s="9" t="n"/>
      <c r="D675" s="9" t="n"/>
    </row>
    <row r="676">
      <c r="B676" s="10" t="inlineStr">
        <is>
          <t>카드매출</t>
        </is>
      </c>
      <c r="C676" s="11" t="n"/>
      <c r="D676" s="6" t="inlineStr">
        <is>
          <t>원</t>
        </is>
      </c>
    </row>
    <row r="677">
      <c r="B677" s="10" t="inlineStr">
        <is>
          <t>현금매출</t>
        </is>
      </c>
      <c r="C677" s="11" t="n"/>
      <c r="D677" s="6" t="inlineStr">
        <is>
          <t>원</t>
        </is>
      </c>
    </row>
    <row r="678">
      <c r="B678" s="8" t="inlineStr">
        <is>
          <t>■ 공과금  (3주차에 지난달분 입력)</t>
        </is>
      </c>
      <c r="C678" s="9" t="n"/>
      <c r="D678" s="9" t="n"/>
    </row>
    <row r="679">
      <c r="B679" s="10" t="inlineStr">
        <is>
          <t>전기요금</t>
        </is>
      </c>
      <c r="C679" s="11" t="n"/>
      <c r="D679" s="6" t="inlineStr">
        <is>
          <t>원 (고지서 그대로)</t>
        </is>
      </c>
    </row>
    <row r="680">
      <c r="B680" s="10" t="inlineStr">
        <is>
          <t>가스요금</t>
        </is>
      </c>
      <c r="C680" s="11" t="n"/>
    </row>
    <row r="681">
      <c r="B681" s="10" t="inlineStr">
        <is>
          <t>수도요금</t>
        </is>
      </c>
      <c r="C681" s="11" t="n"/>
    </row>
    <row r="682">
      <c r="B682" s="8" t="inlineStr">
        <is>
          <t>■ 기타  (발생할 때만)</t>
        </is>
      </c>
      <c r="C682" s="9" t="n"/>
      <c r="D682" s="9" t="n"/>
    </row>
    <row r="683">
      <c r="B683" s="10" t="inlineStr">
        <is>
          <t>정화조 청소</t>
        </is>
      </c>
      <c r="C683" s="11" t="n"/>
    </row>
    <row r="684">
      <c r="B684" s="10" t="inlineStr">
        <is>
          <t>회식 연계매출</t>
        </is>
      </c>
      <c r="C684" s="11" t="n"/>
      <c r="D684" s="6" t="inlineStr">
        <is>
          <t>원 (재생전골 등)</t>
        </is>
      </c>
    </row>
    <row r="685">
      <c r="B685" s="10" t="inlineStr">
        <is>
          <t>기타비용</t>
        </is>
      </c>
      <c r="C685" s="11" t="n"/>
    </row>
    <row r="686">
      <c r="B686" s="10" t="inlineStr">
        <is>
          <t>비고</t>
        </is>
      </c>
      <c r="C686" s="7" t="n"/>
    </row>
    <row r="687">
      <c r="A687" s="12" t="n"/>
      <c r="B687" s="12" t="n"/>
      <c r="C687" s="12" t="n"/>
      <c r="D687" s="12" t="n"/>
      <c r="E687" s="12" t="n"/>
    </row>
    <row r="688">
      <c r="B688" s="3" t="inlineStr">
        <is>
          <t>📋 주간 정산 입력  #39</t>
        </is>
      </c>
    </row>
    <row r="689">
      <c r="B689" s="4" t="inlineStr">
        <is>
          <t>월</t>
        </is>
      </c>
      <c r="C689" s="5" t="n"/>
      <c r="D689" s="6" t="inlineStr">
        <is>
          <t>← 1~12</t>
        </is>
      </c>
    </row>
    <row r="690">
      <c r="B690" s="4" t="inlineStr">
        <is>
          <t>주차</t>
        </is>
      </c>
      <c r="C690" s="5" t="n"/>
      <c r="D690" s="6" t="inlineStr">
        <is>
          <t>← 1~5</t>
        </is>
      </c>
    </row>
    <row r="691">
      <c r="B691" s="4" t="inlineStr">
        <is>
          <t>시작일</t>
        </is>
      </c>
      <c r="C691" s="7" t="n"/>
    </row>
    <row r="692">
      <c r="B692" s="4" t="inlineStr">
        <is>
          <t>종료일</t>
        </is>
      </c>
      <c r="C692" s="7" t="n"/>
    </row>
    <row r="693">
      <c r="B693" s="8" t="inlineStr">
        <is>
          <t>■ 매출</t>
        </is>
      </c>
      <c r="C693" s="9" t="n"/>
      <c r="D693" s="9" t="n"/>
    </row>
    <row r="694">
      <c r="B694" s="10" t="inlineStr">
        <is>
          <t>카드매출</t>
        </is>
      </c>
      <c r="C694" s="11" t="n"/>
      <c r="D694" s="6" t="inlineStr">
        <is>
          <t>원</t>
        </is>
      </c>
    </row>
    <row r="695">
      <c r="B695" s="10" t="inlineStr">
        <is>
          <t>현금매출</t>
        </is>
      </c>
      <c r="C695" s="11" t="n"/>
      <c r="D695" s="6" t="inlineStr">
        <is>
          <t>원</t>
        </is>
      </c>
    </row>
    <row r="696">
      <c r="B696" s="8" t="inlineStr">
        <is>
          <t>■ 공과금  (3주차에 지난달분 입력)</t>
        </is>
      </c>
      <c r="C696" s="9" t="n"/>
      <c r="D696" s="9" t="n"/>
    </row>
    <row r="697">
      <c r="B697" s="10" t="inlineStr">
        <is>
          <t>전기요금</t>
        </is>
      </c>
      <c r="C697" s="11" t="n"/>
      <c r="D697" s="6" t="inlineStr">
        <is>
          <t>원 (고지서 그대로)</t>
        </is>
      </c>
    </row>
    <row r="698">
      <c r="B698" s="10" t="inlineStr">
        <is>
          <t>가스요금</t>
        </is>
      </c>
      <c r="C698" s="11" t="n"/>
    </row>
    <row r="699">
      <c r="B699" s="10" t="inlineStr">
        <is>
          <t>수도요금</t>
        </is>
      </c>
      <c r="C699" s="11" t="n"/>
    </row>
    <row r="700">
      <c r="B700" s="8" t="inlineStr">
        <is>
          <t>■ 기타  (발생할 때만)</t>
        </is>
      </c>
      <c r="C700" s="9" t="n"/>
      <c r="D700" s="9" t="n"/>
    </row>
    <row r="701">
      <c r="B701" s="10" t="inlineStr">
        <is>
          <t>정화조 청소</t>
        </is>
      </c>
      <c r="C701" s="11" t="n"/>
    </row>
    <row r="702">
      <c r="B702" s="10" t="inlineStr">
        <is>
          <t>회식 연계매출</t>
        </is>
      </c>
      <c r="C702" s="11" t="n"/>
      <c r="D702" s="6" t="inlineStr">
        <is>
          <t>원 (재생전골 등)</t>
        </is>
      </c>
    </row>
    <row r="703">
      <c r="B703" s="10" t="inlineStr">
        <is>
          <t>기타비용</t>
        </is>
      </c>
      <c r="C703" s="11" t="n"/>
    </row>
    <row r="704">
      <c r="B704" s="10" t="inlineStr">
        <is>
          <t>비고</t>
        </is>
      </c>
      <c r="C704" s="7" t="n"/>
    </row>
    <row r="705">
      <c r="A705" s="12" t="n"/>
      <c r="B705" s="12" t="n"/>
      <c r="C705" s="12" t="n"/>
      <c r="D705" s="12" t="n"/>
      <c r="E705" s="12" t="n"/>
    </row>
    <row r="706">
      <c r="B706" s="3" t="inlineStr">
        <is>
          <t>📋 주간 정산 입력  #40</t>
        </is>
      </c>
    </row>
    <row r="707">
      <c r="B707" s="4" t="inlineStr">
        <is>
          <t>월</t>
        </is>
      </c>
      <c r="C707" s="5" t="n"/>
      <c r="D707" s="6" t="inlineStr">
        <is>
          <t>← 1~12</t>
        </is>
      </c>
    </row>
    <row r="708">
      <c r="B708" s="4" t="inlineStr">
        <is>
          <t>주차</t>
        </is>
      </c>
      <c r="C708" s="5" t="n"/>
      <c r="D708" s="6" t="inlineStr">
        <is>
          <t>← 1~5</t>
        </is>
      </c>
    </row>
    <row r="709">
      <c r="B709" s="4" t="inlineStr">
        <is>
          <t>시작일</t>
        </is>
      </c>
      <c r="C709" s="7" t="n"/>
    </row>
    <row r="710">
      <c r="B710" s="4" t="inlineStr">
        <is>
          <t>종료일</t>
        </is>
      </c>
      <c r="C710" s="7" t="n"/>
    </row>
    <row r="711">
      <c r="B711" s="8" t="inlineStr">
        <is>
          <t>■ 매출</t>
        </is>
      </c>
      <c r="C711" s="9" t="n"/>
      <c r="D711" s="9" t="n"/>
    </row>
    <row r="712">
      <c r="B712" s="10" t="inlineStr">
        <is>
          <t>카드매출</t>
        </is>
      </c>
      <c r="C712" s="11" t="n"/>
      <c r="D712" s="6" t="inlineStr">
        <is>
          <t>원</t>
        </is>
      </c>
    </row>
    <row r="713">
      <c r="B713" s="10" t="inlineStr">
        <is>
          <t>현금매출</t>
        </is>
      </c>
      <c r="C713" s="11" t="n"/>
      <c r="D713" s="6" t="inlineStr">
        <is>
          <t>원</t>
        </is>
      </c>
    </row>
    <row r="714">
      <c r="B714" s="8" t="inlineStr">
        <is>
          <t>■ 공과금  (3주차에 지난달분 입력)</t>
        </is>
      </c>
      <c r="C714" s="9" t="n"/>
      <c r="D714" s="9" t="n"/>
    </row>
    <row r="715">
      <c r="B715" s="10" t="inlineStr">
        <is>
          <t>전기요금</t>
        </is>
      </c>
      <c r="C715" s="11" t="n"/>
      <c r="D715" s="6" t="inlineStr">
        <is>
          <t>원 (고지서 그대로)</t>
        </is>
      </c>
    </row>
    <row r="716">
      <c r="B716" s="10" t="inlineStr">
        <is>
          <t>가스요금</t>
        </is>
      </c>
      <c r="C716" s="11" t="n"/>
    </row>
    <row r="717">
      <c r="B717" s="10" t="inlineStr">
        <is>
          <t>수도요금</t>
        </is>
      </c>
      <c r="C717" s="11" t="n"/>
    </row>
    <row r="718">
      <c r="B718" s="8" t="inlineStr">
        <is>
          <t>■ 기타  (발생할 때만)</t>
        </is>
      </c>
      <c r="C718" s="9" t="n"/>
      <c r="D718" s="9" t="n"/>
    </row>
    <row r="719">
      <c r="B719" s="10" t="inlineStr">
        <is>
          <t>정화조 청소</t>
        </is>
      </c>
      <c r="C719" s="11" t="n"/>
    </row>
    <row r="720">
      <c r="B720" s="10" t="inlineStr">
        <is>
          <t>회식 연계매출</t>
        </is>
      </c>
      <c r="C720" s="11" t="n"/>
      <c r="D720" s="6" t="inlineStr">
        <is>
          <t>원 (재생전골 등)</t>
        </is>
      </c>
    </row>
    <row r="721">
      <c r="B721" s="10" t="inlineStr">
        <is>
          <t>기타비용</t>
        </is>
      </c>
      <c r="C721" s="11" t="n"/>
    </row>
    <row r="722">
      <c r="B722" s="10" t="inlineStr">
        <is>
          <t>비고</t>
        </is>
      </c>
      <c r="C722" s="7" t="n"/>
    </row>
    <row r="723">
      <c r="A723" s="12" t="n"/>
      <c r="B723" s="12" t="n"/>
      <c r="C723" s="12" t="n"/>
      <c r="D723" s="12" t="n"/>
      <c r="E723" s="12" t="n"/>
    </row>
    <row r="724">
      <c r="B724" s="3" t="inlineStr">
        <is>
          <t>📋 주간 정산 입력  #41</t>
        </is>
      </c>
    </row>
    <row r="725">
      <c r="B725" s="4" t="inlineStr">
        <is>
          <t>월</t>
        </is>
      </c>
      <c r="C725" s="5" t="n"/>
      <c r="D725" s="6" t="inlineStr">
        <is>
          <t>← 1~12</t>
        </is>
      </c>
    </row>
    <row r="726">
      <c r="B726" s="4" t="inlineStr">
        <is>
          <t>주차</t>
        </is>
      </c>
      <c r="C726" s="5" t="n"/>
      <c r="D726" s="6" t="inlineStr">
        <is>
          <t>← 1~5</t>
        </is>
      </c>
    </row>
    <row r="727">
      <c r="B727" s="4" t="inlineStr">
        <is>
          <t>시작일</t>
        </is>
      </c>
      <c r="C727" s="7" t="n"/>
    </row>
    <row r="728">
      <c r="B728" s="4" t="inlineStr">
        <is>
          <t>종료일</t>
        </is>
      </c>
      <c r="C728" s="7" t="n"/>
    </row>
    <row r="729">
      <c r="B729" s="8" t="inlineStr">
        <is>
          <t>■ 매출</t>
        </is>
      </c>
      <c r="C729" s="9" t="n"/>
      <c r="D729" s="9" t="n"/>
    </row>
    <row r="730">
      <c r="B730" s="10" t="inlineStr">
        <is>
          <t>카드매출</t>
        </is>
      </c>
      <c r="C730" s="11" t="n"/>
      <c r="D730" s="6" t="inlineStr">
        <is>
          <t>원</t>
        </is>
      </c>
    </row>
    <row r="731">
      <c r="B731" s="10" t="inlineStr">
        <is>
          <t>현금매출</t>
        </is>
      </c>
      <c r="C731" s="11" t="n"/>
      <c r="D731" s="6" t="inlineStr">
        <is>
          <t>원</t>
        </is>
      </c>
    </row>
    <row r="732">
      <c r="B732" s="8" t="inlineStr">
        <is>
          <t>■ 공과금  (3주차에 지난달분 입력)</t>
        </is>
      </c>
      <c r="C732" s="9" t="n"/>
      <c r="D732" s="9" t="n"/>
    </row>
    <row r="733">
      <c r="B733" s="10" t="inlineStr">
        <is>
          <t>전기요금</t>
        </is>
      </c>
      <c r="C733" s="11" t="n"/>
      <c r="D733" s="6" t="inlineStr">
        <is>
          <t>원 (고지서 그대로)</t>
        </is>
      </c>
    </row>
    <row r="734">
      <c r="B734" s="10" t="inlineStr">
        <is>
          <t>가스요금</t>
        </is>
      </c>
      <c r="C734" s="11" t="n"/>
    </row>
    <row r="735">
      <c r="B735" s="10" t="inlineStr">
        <is>
          <t>수도요금</t>
        </is>
      </c>
      <c r="C735" s="11" t="n"/>
    </row>
    <row r="736">
      <c r="B736" s="8" t="inlineStr">
        <is>
          <t>■ 기타  (발생할 때만)</t>
        </is>
      </c>
      <c r="C736" s="9" t="n"/>
      <c r="D736" s="9" t="n"/>
    </row>
    <row r="737">
      <c r="B737" s="10" t="inlineStr">
        <is>
          <t>정화조 청소</t>
        </is>
      </c>
      <c r="C737" s="11" t="n"/>
    </row>
    <row r="738">
      <c r="B738" s="10" t="inlineStr">
        <is>
          <t>회식 연계매출</t>
        </is>
      </c>
      <c r="C738" s="11" t="n"/>
      <c r="D738" s="6" t="inlineStr">
        <is>
          <t>원 (재생전골 등)</t>
        </is>
      </c>
    </row>
    <row r="739">
      <c r="B739" s="10" t="inlineStr">
        <is>
          <t>기타비용</t>
        </is>
      </c>
      <c r="C739" s="11" t="n"/>
    </row>
    <row r="740">
      <c r="B740" s="10" t="inlineStr">
        <is>
          <t>비고</t>
        </is>
      </c>
      <c r="C740" s="7" t="n"/>
    </row>
    <row r="741">
      <c r="A741" s="12" t="n"/>
      <c r="B741" s="12" t="n"/>
      <c r="C741" s="12" t="n"/>
      <c r="D741" s="12" t="n"/>
      <c r="E741" s="12" t="n"/>
    </row>
    <row r="742">
      <c r="B742" s="3" t="inlineStr">
        <is>
          <t>📋 주간 정산 입력  #42</t>
        </is>
      </c>
    </row>
    <row r="743">
      <c r="B743" s="4" t="inlineStr">
        <is>
          <t>월</t>
        </is>
      </c>
      <c r="C743" s="5" t="n"/>
      <c r="D743" s="6" t="inlineStr">
        <is>
          <t>← 1~12</t>
        </is>
      </c>
    </row>
    <row r="744">
      <c r="B744" s="4" t="inlineStr">
        <is>
          <t>주차</t>
        </is>
      </c>
      <c r="C744" s="5" t="n"/>
      <c r="D744" s="6" t="inlineStr">
        <is>
          <t>← 1~5</t>
        </is>
      </c>
    </row>
    <row r="745">
      <c r="B745" s="4" t="inlineStr">
        <is>
          <t>시작일</t>
        </is>
      </c>
      <c r="C745" s="7" t="n"/>
    </row>
    <row r="746">
      <c r="B746" s="4" t="inlineStr">
        <is>
          <t>종료일</t>
        </is>
      </c>
      <c r="C746" s="7" t="n"/>
    </row>
    <row r="747">
      <c r="B747" s="8" t="inlineStr">
        <is>
          <t>■ 매출</t>
        </is>
      </c>
      <c r="C747" s="9" t="n"/>
      <c r="D747" s="9" t="n"/>
    </row>
    <row r="748">
      <c r="B748" s="10" t="inlineStr">
        <is>
          <t>카드매출</t>
        </is>
      </c>
      <c r="C748" s="11" t="n"/>
      <c r="D748" s="6" t="inlineStr">
        <is>
          <t>원</t>
        </is>
      </c>
    </row>
    <row r="749">
      <c r="B749" s="10" t="inlineStr">
        <is>
          <t>현금매출</t>
        </is>
      </c>
      <c r="C749" s="11" t="n"/>
      <c r="D749" s="6" t="inlineStr">
        <is>
          <t>원</t>
        </is>
      </c>
    </row>
    <row r="750">
      <c r="B750" s="8" t="inlineStr">
        <is>
          <t>■ 공과금  (3주차에 지난달분 입력)</t>
        </is>
      </c>
      <c r="C750" s="9" t="n"/>
      <c r="D750" s="9" t="n"/>
    </row>
    <row r="751">
      <c r="B751" s="10" t="inlineStr">
        <is>
          <t>전기요금</t>
        </is>
      </c>
      <c r="C751" s="11" t="n"/>
      <c r="D751" s="6" t="inlineStr">
        <is>
          <t>원 (고지서 그대로)</t>
        </is>
      </c>
    </row>
    <row r="752">
      <c r="B752" s="10" t="inlineStr">
        <is>
          <t>가스요금</t>
        </is>
      </c>
      <c r="C752" s="11" t="n"/>
    </row>
    <row r="753">
      <c r="B753" s="10" t="inlineStr">
        <is>
          <t>수도요금</t>
        </is>
      </c>
      <c r="C753" s="11" t="n"/>
    </row>
    <row r="754">
      <c r="B754" s="8" t="inlineStr">
        <is>
          <t>■ 기타  (발생할 때만)</t>
        </is>
      </c>
      <c r="C754" s="9" t="n"/>
      <c r="D754" s="9" t="n"/>
    </row>
    <row r="755">
      <c r="B755" s="10" t="inlineStr">
        <is>
          <t>정화조 청소</t>
        </is>
      </c>
      <c r="C755" s="11" t="n"/>
    </row>
    <row r="756">
      <c r="B756" s="10" t="inlineStr">
        <is>
          <t>회식 연계매출</t>
        </is>
      </c>
      <c r="C756" s="11" t="n"/>
      <c r="D756" s="6" t="inlineStr">
        <is>
          <t>원 (재생전골 등)</t>
        </is>
      </c>
    </row>
    <row r="757">
      <c r="B757" s="10" t="inlineStr">
        <is>
          <t>기타비용</t>
        </is>
      </c>
      <c r="C757" s="11" t="n"/>
    </row>
    <row r="758">
      <c r="B758" s="10" t="inlineStr">
        <is>
          <t>비고</t>
        </is>
      </c>
      <c r="C758" s="7" t="n"/>
    </row>
    <row r="759">
      <c r="A759" s="12" t="n"/>
      <c r="B759" s="12" t="n"/>
      <c r="C759" s="12" t="n"/>
      <c r="D759" s="12" t="n"/>
      <c r="E759" s="12" t="n"/>
    </row>
    <row r="760">
      <c r="B760" s="3" t="inlineStr">
        <is>
          <t>📋 주간 정산 입력  #43</t>
        </is>
      </c>
    </row>
    <row r="761">
      <c r="B761" s="4" t="inlineStr">
        <is>
          <t>월</t>
        </is>
      </c>
      <c r="C761" s="5" t="n"/>
      <c r="D761" s="6" t="inlineStr">
        <is>
          <t>← 1~12</t>
        </is>
      </c>
    </row>
    <row r="762">
      <c r="B762" s="4" t="inlineStr">
        <is>
          <t>주차</t>
        </is>
      </c>
      <c r="C762" s="5" t="n"/>
      <c r="D762" s="6" t="inlineStr">
        <is>
          <t>← 1~5</t>
        </is>
      </c>
    </row>
    <row r="763">
      <c r="B763" s="4" t="inlineStr">
        <is>
          <t>시작일</t>
        </is>
      </c>
      <c r="C763" s="7" t="n"/>
    </row>
    <row r="764">
      <c r="B764" s="4" t="inlineStr">
        <is>
          <t>종료일</t>
        </is>
      </c>
      <c r="C764" s="7" t="n"/>
    </row>
    <row r="765">
      <c r="B765" s="8" t="inlineStr">
        <is>
          <t>■ 매출</t>
        </is>
      </c>
      <c r="C765" s="9" t="n"/>
      <c r="D765" s="9" t="n"/>
    </row>
    <row r="766">
      <c r="B766" s="10" t="inlineStr">
        <is>
          <t>카드매출</t>
        </is>
      </c>
      <c r="C766" s="11" t="n"/>
      <c r="D766" s="6" t="inlineStr">
        <is>
          <t>원</t>
        </is>
      </c>
    </row>
    <row r="767">
      <c r="B767" s="10" t="inlineStr">
        <is>
          <t>현금매출</t>
        </is>
      </c>
      <c r="C767" s="11" t="n"/>
      <c r="D767" s="6" t="inlineStr">
        <is>
          <t>원</t>
        </is>
      </c>
    </row>
    <row r="768">
      <c r="B768" s="8" t="inlineStr">
        <is>
          <t>■ 공과금  (3주차에 지난달분 입력)</t>
        </is>
      </c>
      <c r="C768" s="9" t="n"/>
      <c r="D768" s="9" t="n"/>
    </row>
    <row r="769">
      <c r="B769" s="10" t="inlineStr">
        <is>
          <t>전기요금</t>
        </is>
      </c>
      <c r="C769" s="11" t="n"/>
      <c r="D769" s="6" t="inlineStr">
        <is>
          <t>원 (고지서 그대로)</t>
        </is>
      </c>
    </row>
    <row r="770">
      <c r="B770" s="10" t="inlineStr">
        <is>
          <t>가스요금</t>
        </is>
      </c>
      <c r="C770" s="11" t="n"/>
    </row>
    <row r="771">
      <c r="B771" s="10" t="inlineStr">
        <is>
          <t>수도요금</t>
        </is>
      </c>
      <c r="C771" s="11" t="n"/>
    </row>
    <row r="772">
      <c r="B772" s="8" t="inlineStr">
        <is>
          <t>■ 기타  (발생할 때만)</t>
        </is>
      </c>
      <c r="C772" s="9" t="n"/>
      <c r="D772" s="9" t="n"/>
    </row>
    <row r="773">
      <c r="B773" s="10" t="inlineStr">
        <is>
          <t>정화조 청소</t>
        </is>
      </c>
      <c r="C773" s="11" t="n"/>
    </row>
    <row r="774">
      <c r="B774" s="10" t="inlineStr">
        <is>
          <t>회식 연계매출</t>
        </is>
      </c>
      <c r="C774" s="11" t="n"/>
      <c r="D774" s="6" t="inlineStr">
        <is>
          <t>원 (재생전골 등)</t>
        </is>
      </c>
    </row>
    <row r="775">
      <c r="B775" s="10" t="inlineStr">
        <is>
          <t>기타비용</t>
        </is>
      </c>
      <c r="C775" s="11" t="n"/>
    </row>
    <row r="776">
      <c r="B776" s="10" t="inlineStr">
        <is>
          <t>비고</t>
        </is>
      </c>
      <c r="C776" s="7" t="n"/>
    </row>
    <row r="777">
      <c r="A777" s="12" t="n"/>
      <c r="B777" s="12" t="n"/>
      <c r="C777" s="12" t="n"/>
      <c r="D777" s="12" t="n"/>
      <c r="E777" s="12" t="n"/>
    </row>
    <row r="778">
      <c r="B778" s="3" t="inlineStr">
        <is>
          <t>📋 주간 정산 입력  #44</t>
        </is>
      </c>
    </row>
    <row r="779">
      <c r="B779" s="4" t="inlineStr">
        <is>
          <t>월</t>
        </is>
      </c>
      <c r="C779" s="5" t="n"/>
      <c r="D779" s="6" t="inlineStr">
        <is>
          <t>← 1~12</t>
        </is>
      </c>
    </row>
    <row r="780">
      <c r="B780" s="4" t="inlineStr">
        <is>
          <t>주차</t>
        </is>
      </c>
      <c r="C780" s="5" t="n"/>
      <c r="D780" s="6" t="inlineStr">
        <is>
          <t>← 1~5</t>
        </is>
      </c>
    </row>
    <row r="781">
      <c r="B781" s="4" t="inlineStr">
        <is>
          <t>시작일</t>
        </is>
      </c>
      <c r="C781" s="7" t="n"/>
    </row>
    <row r="782">
      <c r="B782" s="4" t="inlineStr">
        <is>
          <t>종료일</t>
        </is>
      </c>
      <c r="C782" s="7" t="n"/>
    </row>
    <row r="783">
      <c r="B783" s="8" t="inlineStr">
        <is>
          <t>■ 매출</t>
        </is>
      </c>
      <c r="C783" s="9" t="n"/>
      <c r="D783" s="9" t="n"/>
    </row>
    <row r="784">
      <c r="B784" s="10" t="inlineStr">
        <is>
          <t>카드매출</t>
        </is>
      </c>
      <c r="C784" s="11" t="n"/>
      <c r="D784" s="6" t="inlineStr">
        <is>
          <t>원</t>
        </is>
      </c>
    </row>
    <row r="785">
      <c r="B785" s="10" t="inlineStr">
        <is>
          <t>현금매출</t>
        </is>
      </c>
      <c r="C785" s="11" t="n"/>
      <c r="D785" s="6" t="inlineStr">
        <is>
          <t>원</t>
        </is>
      </c>
    </row>
    <row r="786">
      <c r="B786" s="8" t="inlineStr">
        <is>
          <t>■ 공과금  (3주차에 지난달분 입력)</t>
        </is>
      </c>
      <c r="C786" s="9" t="n"/>
      <c r="D786" s="9" t="n"/>
    </row>
    <row r="787">
      <c r="B787" s="10" t="inlineStr">
        <is>
          <t>전기요금</t>
        </is>
      </c>
      <c r="C787" s="11" t="n"/>
      <c r="D787" s="6" t="inlineStr">
        <is>
          <t>원 (고지서 그대로)</t>
        </is>
      </c>
    </row>
    <row r="788">
      <c r="B788" s="10" t="inlineStr">
        <is>
          <t>가스요금</t>
        </is>
      </c>
      <c r="C788" s="11" t="n"/>
    </row>
    <row r="789">
      <c r="B789" s="10" t="inlineStr">
        <is>
          <t>수도요금</t>
        </is>
      </c>
      <c r="C789" s="11" t="n"/>
    </row>
    <row r="790">
      <c r="B790" s="8" t="inlineStr">
        <is>
          <t>■ 기타  (발생할 때만)</t>
        </is>
      </c>
      <c r="C790" s="9" t="n"/>
      <c r="D790" s="9" t="n"/>
    </row>
    <row r="791">
      <c r="B791" s="10" t="inlineStr">
        <is>
          <t>정화조 청소</t>
        </is>
      </c>
      <c r="C791" s="11" t="n"/>
    </row>
    <row r="792">
      <c r="B792" s="10" t="inlineStr">
        <is>
          <t>회식 연계매출</t>
        </is>
      </c>
      <c r="C792" s="11" t="n"/>
      <c r="D792" s="6" t="inlineStr">
        <is>
          <t>원 (재생전골 등)</t>
        </is>
      </c>
    </row>
    <row r="793">
      <c r="B793" s="10" t="inlineStr">
        <is>
          <t>기타비용</t>
        </is>
      </c>
      <c r="C793" s="11" t="n"/>
    </row>
    <row r="794">
      <c r="B794" s="10" t="inlineStr">
        <is>
          <t>비고</t>
        </is>
      </c>
      <c r="C794" s="7" t="n"/>
    </row>
    <row r="795">
      <c r="A795" s="12" t="n"/>
      <c r="B795" s="12" t="n"/>
      <c r="C795" s="12" t="n"/>
      <c r="D795" s="12" t="n"/>
      <c r="E795" s="12" t="n"/>
    </row>
    <row r="796">
      <c r="B796" s="3" t="inlineStr">
        <is>
          <t>📋 주간 정산 입력  #45</t>
        </is>
      </c>
    </row>
    <row r="797">
      <c r="B797" s="4" t="inlineStr">
        <is>
          <t>월</t>
        </is>
      </c>
      <c r="C797" s="5" t="n"/>
      <c r="D797" s="6" t="inlineStr">
        <is>
          <t>← 1~12</t>
        </is>
      </c>
    </row>
    <row r="798">
      <c r="B798" s="4" t="inlineStr">
        <is>
          <t>주차</t>
        </is>
      </c>
      <c r="C798" s="5" t="n"/>
      <c r="D798" s="6" t="inlineStr">
        <is>
          <t>← 1~5</t>
        </is>
      </c>
    </row>
    <row r="799">
      <c r="B799" s="4" t="inlineStr">
        <is>
          <t>시작일</t>
        </is>
      </c>
      <c r="C799" s="7" t="n"/>
    </row>
    <row r="800">
      <c r="B800" s="4" t="inlineStr">
        <is>
          <t>종료일</t>
        </is>
      </c>
      <c r="C800" s="7" t="n"/>
    </row>
    <row r="801">
      <c r="B801" s="8" t="inlineStr">
        <is>
          <t>■ 매출</t>
        </is>
      </c>
      <c r="C801" s="9" t="n"/>
      <c r="D801" s="9" t="n"/>
    </row>
    <row r="802">
      <c r="B802" s="10" t="inlineStr">
        <is>
          <t>카드매출</t>
        </is>
      </c>
      <c r="C802" s="11" t="n"/>
      <c r="D802" s="6" t="inlineStr">
        <is>
          <t>원</t>
        </is>
      </c>
    </row>
    <row r="803">
      <c r="B803" s="10" t="inlineStr">
        <is>
          <t>현금매출</t>
        </is>
      </c>
      <c r="C803" s="11" t="n"/>
      <c r="D803" s="6" t="inlineStr">
        <is>
          <t>원</t>
        </is>
      </c>
    </row>
    <row r="804">
      <c r="B804" s="8" t="inlineStr">
        <is>
          <t>■ 공과금  (3주차에 지난달분 입력)</t>
        </is>
      </c>
      <c r="C804" s="9" t="n"/>
      <c r="D804" s="9" t="n"/>
    </row>
    <row r="805">
      <c r="B805" s="10" t="inlineStr">
        <is>
          <t>전기요금</t>
        </is>
      </c>
      <c r="C805" s="11" t="n"/>
      <c r="D805" s="6" t="inlineStr">
        <is>
          <t>원 (고지서 그대로)</t>
        </is>
      </c>
    </row>
    <row r="806">
      <c r="B806" s="10" t="inlineStr">
        <is>
          <t>가스요금</t>
        </is>
      </c>
      <c r="C806" s="11" t="n"/>
    </row>
    <row r="807">
      <c r="B807" s="10" t="inlineStr">
        <is>
          <t>수도요금</t>
        </is>
      </c>
      <c r="C807" s="11" t="n"/>
    </row>
    <row r="808">
      <c r="B808" s="8" t="inlineStr">
        <is>
          <t>■ 기타  (발생할 때만)</t>
        </is>
      </c>
      <c r="C808" s="9" t="n"/>
      <c r="D808" s="9" t="n"/>
    </row>
    <row r="809">
      <c r="B809" s="10" t="inlineStr">
        <is>
          <t>정화조 청소</t>
        </is>
      </c>
      <c r="C809" s="11" t="n"/>
    </row>
    <row r="810">
      <c r="B810" s="10" t="inlineStr">
        <is>
          <t>회식 연계매출</t>
        </is>
      </c>
      <c r="C810" s="11" t="n"/>
      <c r="D810" s="6" t="inlineStr">
        <is>
          <t>원 (재생전골 등)</t>
        </is>
      </c>
    </row>
    <row r="811">
      <c r="B811" s="10" t="inlineStr">
        <is>
          <t>기타비용</t>
        </is>
      </c>
      <c r="C811" s="11" t="n"/>
    </row>
    <row r="812">
      <c r="B812" s="10" t="inlineStr">
        <is>
          <t>비고</t>
        </is>
      </c>
      <c r="C812" s="7" t="n"/>
    </row>
    <row r="813">
      <c r="A813" s="12" t="n"/>
      <c r="B813" s="12" t="n"/>
      <c r="C813" s="12" t="n"/>
      <c r="D813" s="12" t="n"/>
      <c r="E813" s="12" t="n"/>
    </row>
    <row r="814">
      <c r="B814" s="3" t="inlineStr">
        <is>
          <t>📋 주간 정산 입력  #46</t>
        </is>
      </c>
    </row>
    <row r="815">
      <c r="B815" s="4" t="inlineStr">
        <is>
          <t>월</t>
        </is>
      </c>
      <c r="C815" s="5" t="n"/>
      <c r="D815" s="6" t="inlineStr">
        <is>
          <t>← 1~12</t>
        </is>
      </c>
    </row>
    <row r="816">
      <c r="B816" s="4" t="inlineStr">
        <is>
          <t>주차</t>
        </is>
      </c>
      <c r="C816" s="5" t="n"/>
      <c r="D816" s="6" t="inlineStr">
        <is>
          <t>← 1~5</t>
        </is>
      </c>
    </row>
    <row r="817">
      <c r="B817" s="4" t="inlineStr">
        <is>
          <t>시작일</t>
        </is>
      </c>
      <c r="C817" s="7" t="n"/>
    </row>
    <row r="818">
      <c r="B818" s="4" t="inlineStr">
        <is>
          <t>종료일</t>
        </is>
      </c>
      <c r="C818" s="7" t="n"/>
    </row>
    <row r="819">
      <c r="B819" s="8" t="inlineStr">
        <is>
          <t>■ 매출</t>
        </is>
      </c>
      <c r="C819" s="9" t="n"/>
      <c r="D819" s="9" t="n"/>
    </row>
    <row r="820">
      <c r="B820" s="10" t="inlineStr">
        <is>
          <t>카드매출</t>
        </is>
      </c>
      <c r="C820" s="11" t="n"/>
      <c r="D820" s="6" t="inlineStr">
        <is>
          <t>원</t>
        </is>
      </c>
    </row>
    <row r="821">
      <c r="B821" s="10" t="inlineStr">
        <is>
          <t>현금매출</t>
        </is>
      </c>
      <c r="C821" s="11" t="n"/>
      <c r="D821" s="6" t="inlineStr">
        <is>
          <t>원</t>
        </is>
      </c>
    </row>
    <row r="822">
      <c r="B822" s="8" t="inlineStr">
        <is>
          <t>■ 공과금  (3주차에 지난달분 입력)</t>
        </is>
      </c>
      <c r="C822" s="9" t="n"/>
      <c r="D822" s="9" t="n"/>
    </row>
    <row r="823">
      <c r="B823" s="10" t="inlineStr">
        <is>
          <t>전기요금</t>
        </is>
      </c>
      <c r="C823" s="11" t="n"/>
      <c r="D823" s="6" t="inlineStr">
        <is>
          <t>원 (고지서 그대로)</t>
        </is>
      </c>
    </row>
    <row r="824">
      <c r="B824" s="10" t="inlineStr">
        <is>
          <t>가스요금</t>
        </is>
      </c>
      <c r="C824" s="11" t="n"/>
    </row>
    <row r="825">
      <c r="B825" s="10" t="inlineStr">
        <is>
          <t>수도요금</t>
        </is>
      </c>
      <c r="C825" s="11" t="n"/>
    </row>
    <row r="826">
      <c r="B826" s="8" t="inlineStr">
        <is>
          <t>■ 기타  (발생할 때만)</t>
        </is>
      </c>
      <c r="C826" s="9" t="n"/>
      <c r="D826" s="9" t="n"/>
    </row>
    <row r="827">
      <c r="B827" s="10" t="inlineStr">
        <is>
          <t>정화조 청소</t>
        </is>
      </c>
      <c r="C827" s="11" t="n"/>
    </row>
    <row r="828">
      <c r="B828" s="10" t="inlineStr">
        <is>
          <t>회식 연계매출</t>
        </is>
      </c>
      <c r="C828" s="11" t="n"/>
      <c r="D828" s="6" t="inlineStr">
        <is>
          <t>원 (재생전골 등)</t>
        </is>
      </c>
    </row>
    <row r="829">
      <c r="B829" s="10" t="inlineStr">
        <is>
          <t>기타비용</t>
        </is>
      </c>
      <c r="C829" s="11" t="n"/>
    </row>
    <row r="830">
      <c r="B830" s="10" t="inlineStr">
        <is>
          <t>비고</t>
        </is>
      </c>
      <c r="C830" s="7" t="n"/>
    </row>
    <row r="831">
      <c r="A831" s="12" t="n"/>
      <c r="B831" s="12" t="n"/>
      <c r="C831" s="12" t="n"/>
      <c r="D831" s="12" t="n"/>
      <c r="E831" s="12" t="n"/>
    </row>
    <row r="832">
      <c r="B832" s="3" t="inlineStr">
        <is>
          <t>📋 주간 정산 입력  #47</t>
        </is>
      </c>
    </row>
    <row r="833">
      <c r="B833" s="4" t="inlineStr">
        <is>
          <t>월</t>
        </is>
      </c>
      <c r="C833" s="5" t="n"/>
      <c r="D833" s="6" t="inlineStr">
        <is>
          <t>← 1~12</t>
        </is>
      </c>
    </row>
    <row r="834">
      <c r="B834" s="4" t="inlineStr">
        <is>
          <t>주차</t>
        </is>
      </c>
      <c r="C834" s="5" t="n"/>
      <c r="D834" s="6" t="inlineStr">
        <is>
          <t>← 1~5</t>
        </is>
      </c>
    </row>
    <row r="835">
      <c r="B835" s="4" t="inlineStr">
        <is>
          <t>시작일</t>
        </is>
      </c>
      <c r="C835" s="7" t="n"/>
    </row>
    <row r="836">
      <c r="B836" s="4" t="inlineStr">
        <is>
          <t>종료일</t>
        </is>
      </c>
      <c r="C836" s="7" t="n"/>
    </row>
    <row r="837">
      <c r="B837" s="8" t="inlineStr">
        <is>
          <t>■ 매출</t>
        </is>
      </c>
      <c r="C837" s="9" t="n"/>
      <c r="D837" s="9" t="n"/>
    </row>
    <row r="838">
      <c r="B838" s="10" t="inlineStr">
        <is>
          <t>카드매출</t>
        </is>
      </c>
      <c r="C838" s="11" t="n"/>
      <c r="D838" s="6" t="inlineStr">
        <is>
          <t>원</t>
        </is>
      </c>
    </row>
    <row r="839">
      <c r="B839" s="10" t="inlineStr">
        <is>
          <t>현금매출</t>
        </is>
      </c>
      <c r="C839" s="11" t="n"/>
      <c r="D839" s="6" t="inlineStr">
        <is>
          <t>원</t>
        </is>
      </c>
    </row>
    <row r="840">
      <c r="B840" s="8" t="inlineStr">
        <is>
          <t>■ 공과금  (3주차에 지난달분 입력)</t>
        </is>
      </c>
      <c r="C840" s="9" t="n"/>
      <c r="D840" s="9" t="n"/>
    </row>
    <row r="841">
      <c r="B841" s="10" t="inlineStr">
        <is>
          <t>전기요금</t>
        </is>
      </c>
      <c r="C841" s="11" t="n"/>
      <c r="D841" s="6" t="inlineStr">
        <is>
          <t>원 (고지서 그대로)</t>
        </is>
      </c>
    </row>
    <row r="842">
      <c r="B842" s="10" t="inlineStr">
        <is>
          <t>가스요금</t>
        </is>
      </c>
      <c r="C842" s="11" t="n"/>
    </row>
    <row r="843">
      <c r="B843" s="10" t="inlineStr">
        <is>
          <t>수도요금</t>
        </is>
      </c>
      <c r="C843" s="11" t="n"/>
    </row>
    <row r="844">
      <c r="B844" s="8" t="inlineStr">
        <is>
          <t>■ 기타  (발생할 때만)</t>
        </is>
      </c>
      <c r="C844" s="9" t="n"/>
      <c r="D844" s="9" t="n"/>
    </row>
    <row r="845">
      <c r="B845" s="10" t="inlineStr">
        <is>
          <t>정화조 청소</t>
        </is>
      </c>
      <c r="C845" s="11" t="n"/>
    </row>
    <row r="846">
      <c r="B846" s="10" t="inlineStr">
        <is>
          <t>회식 연계매출</t>
        </is>
      </c>
      <c r="C846" s="11" t="n"/>
      <c r="D846" s="6" t="inlineStr">
        <is>
          <t>원 (재생전골 등)</t>
        </is>
      </c>
    </row>
    <row r="847">
      <c r="B847" s="10" t="inlineStr">
        <is>
          <t>기타비용</t>
        </is>
      </c>
      <c r="C847" s="11" t="n"/>
    </row>
    <row r="848">
      <c r="B848" s="10" t="inlineStr">
        <is>
          <t>비고</t>
        </is>
      </c>
      <c r="C848" s="7" t="n"/>
    </row>
    <row r="849">
      <c r="A849" s="12" t="n"/>
      <c r="B849" s="12" t="n"/>
      <c r="C849" s="12" t="n"/>
      <c r="D849" s="12" t="n"/>
      <c r="E849" s="12" t="n"/>
    </row>
    <row r="850">
      <c r="B850" s="3" t="inlineStr">
        <is>
          <t>📋 주간 정산 입력  #48</t>
        </is>
      </c>
    </row>
    <row r="851">
      <c r="B851" s="4" t="inlineStr">
        <is>
          <t>월</t>
        </is>
      </c>
      <c r="C851" s="5" t="n"/>
      <c r="D851" s="6" t="inlineStr">
        <is>
          <t>← 1~12</t>
        </is>
      </c>
    </row>
    <row r="852">
      <c r="B852" s="4" t="inlineStr">
        <is>
          <t>주차</t>
        </is>
      </c>
      <c r="C852" s="5" t="n"/>
      <c r="D852" s="6" t="inlineStr">
        <is>
          <t>← 1~5</t>
        </is>
      </c>
    </row>
    <row r="853">
      <c r="B853" s="4" t="inlineStr">
        <is>
          <t>시작일</t>
        </is>
      </c>
      <c r="C853" s="7" t="n"/>
    </row>
    <row r="854">
      <c r="B854" s="4" t="inlineStr">
        <is>
          <t>종료일</t>
        </is>
      </c>
      <c r="C854" s="7" t="n"/>
    </row>
    <row r="855">
      <c r="B855" s="8" t="inlineStr">
        <is>
          <t>■ 매출</t>
        </is>
      </c>
      <c r="C855" s="9" t="n"/>
      <c r="D855" s="9" t="n"/>
    </row>
    <row r="856">
      <c r="B856" s="10" t="inlineStr">
        <is>
          <t>카드매출</t>
        </is>
      </c>
      <c r="C856" s="11" t="n"/>
      <c r="D856" s="6" t="inlineStr">
        <is>
          <t>원</t>
        </is>
      </c>
    </row>
    <row r="857">
      <c r="B857" s="10" t="inlineStr">
        <is>
          <t>현금매출</t>
        </is>
      </c>
      <c r="C857" s="11" t="n"/>
      <c r="D857" s="6" t="inlineStr">
        <is>
          <t>원</t>
        </is>
      </c>
    </row>
    <row r="858">
      <c r="B858" s="8" t="inlineStr">
        <is>
          <t>■ 공과금  (3주차에 지난달분 입력)</t>
        </is>
      </c>
      <c r="C858" s="9" t="n"/>
      <c r="D858" s="9" t="n"/>
    </row>
    <row r="859">
      <c r="B859" s="10" t="inlineStr">
        <is>
          <t>전기요금</t>
        </is>
      </c>
      <c r="C859" s="11" t="n"/>
      <c r="D859" s="6" t="inlineStr">
        <is>
          <t>원 (고지서 그대로)</t>
        </is>
      </c>
    </row>
    <row r="860">
      <c r="B860" s="10" t="inlineStr">
        <is>
          <t>가스요금</t>
        </is>
      </c>
      <c r="C860" s="11" t="n"/>
    </row>
    <row r="861">
      <c r="B861" s="10" t="inlineStr">
        <is>
          <t>수도요금</t>
        </is>
      </c>
      <c r="C861" s="11" t="n"/>
    </row>
    <row r="862">
      <c r="B862" s="8" t="inlineStr">
        <is>
          <t>■ 기타  (발생할 때만)</t>
        </is>
      </c>
      <c r="C862" s="9" t="n"/>
      <c r="D862" s="9" t="n"/>
    </row>
    <row r="863">
      <c r="B863" s="10" t="inlineStr">
        <is>
          <t>정화조 청소</t>
        </is>
      </c>
      <c r="C863" s="11" t="n"/>
    </row>
    <row r="864">
      <c r="B864" s="10" t="inlineStr">
        <is>
          <t>회식 연계매출</t>
        </is>
      </c>
      <c r="C864" s="11" t="n"/>
      <c r="D864" s="6" t="inlineStr">
        <is>
          <t>원 (재생전골 등)</t>
        </is>
      </c>
    </row>
    <row r="865">
      <c r="B865" s="10" t="inlineStr">
        <is>
          <t>기타비용</t>
        </is>
      </c>
      <c r="C865" s="11" t="n"/>
    </row>
    <row r="866">
      <c r="B866" s="10" t="inlineStr">
        <is>
          <t>비고</t>
        </is>
      </c>
      <c r="C866" s="7" t="n"/>
    </row>
    <row r="867">
      <c r="A867" s="12" t="n"/>
      <c r="B867" s="12" t="n"/>
      <c r="C867" s="12" t="n"/>
      <c r="D867" s="12" t="n"/>
      <c r="E867" s="12" t="n"/>
    </row>
    <row r="868">
      <c r="B868" s="3" t="inlineStr">
        <is>
          <t>📋 주간 정산 입력  #49</t>
        </is>
      </c>
    </row>
    <row r="869">
      <c r="B869" s="4" t="inlineStr">
        <is>
          <t>월</t>
        </is>
      </c>
      <c r="C869" s="5" t="n"/>
      <c r="D869" s="6" t="inlineStr">
        <is>
          <t>← 1~12</t>
        </is>
      </c>
    </row>
    <row r="870">
      <c r="B870" s="4" t="inlineStr">
        <is>
          <t>주차</t>
        </is>
      </c>
      <c r="C870" s="5" t="n"/>
      <c r="D870" s="6" t="inlineStr">
        <is>
          <t>← 1~5</t>
        </is>
      </c>
    </row>
    <row r="871">
      <c r="B871" s="4" t="inlineStr">
        <is>
          <t>시작일</t>
        </is>
      </c>
      <c r="C871" s="7" t="n"/>
    </row>
    <row r="872">
      <c r="B872" s="4" t="inlineStr">
        <is>
          <t>종료일</t>
        </is>
      </c>
      <c r="C872" s="7" t="n"/>
    </row>
    <row r="873">
      <c r="B873" s="8" t="inlineStr">
        <is>
          <t>■ 매출</t>
        </is>
      </c>
      <c r="C873" s="9" t="n"/>
      <c r="D873" s="9" t="n"/>
    </row>
    <row r="874">
      <c r="B874" s="10" t="inlineStr">
        <is>
          <t>카드매출</t>
        </is>
      </c>
      <c r="C874" s="11" t="n"/>
      <c r="D874" s="6" t="inlineStr">
        <is>
          <t>원</t>
        </is>
      </c>
    </row>
    <row r="875">
      <c r="B875" s="10" t="inlineStr">
        <is>
          <t>현금매출</t>
        </is>
      </c>
      <c r="C875" s="11" t="n"/>
      <c r="D875" s="6" t="inlineStr">
        <is>
          <t>원</t>
        </is>
      </c>
    </row>
    <row r="876">
      <c r="B876" s="8" t="inlineStr">
        <is>
          <t>■ 공과금  (3주차에 지난달분 입력)</t>
        </is>
      </c>
      <c r="C876" s="9" t="n"/>
      <c r="D876" s="9" t="n"/>
    </row>
    <row r="877">
      <c r="B877" s="10" t="inlineStr">
        <is>
          <t>전기요금</t>
        </is>
      </c>
      <c r="C877" s="11" t="n"/>
      <c r="D877" s="6" t="inlineStr">
        <is>
          <t>원 (고지서 그대로)</t>
        </is>
      </c>
    </row>
    <row r="878">
      <c r="B878" s="10" t="inlineStr">
        <is>
          <t>가스요금</t>
        </is>
      </c>
      <c r="C878" s="11" t="n"/>
    </row>
    <row r="879">
      <c r="B879" s="10" t="inlineStr">
        <is>
          <t>수도요금</t>
        </is>
      </c>
      <c r="C879" s="11" t="n"/>
    </row>
    <row r="880">
      <c r="B880" s="8" t="inlineStr">
        <is>
          <t>■ 기타  (발생할 때만)</t>
        </is>
      </c>
      <c r="C880" s="9" t="n"/>
      <c r="D880" s="9" t="n"/>
    </row>
    <row r="881">
      <c r="B881" s="10" t="inlineStr">
        <is>
          <t>정화조 청소</t>
        </is>
      </c>
      <c r="C881" s="11" t="n"/>
    </row>
    <row r="882">
      <c r="B882" s="10" t="inlineStr">
        <is>
          <t>회식 연계매출</t>
        </is>
      </c>
      <c r="C882" s="11" t="n"/>
      <c r="D882" s="6" t="inlineStr">
        <is>
          <t>원 (재생전골 등)</t>
        </is>
      </c>
    </row>
    <row r="883">
      <c r="B883" s="10" t="inlineStr">
        <is>
          <t>기타비용</t>
        </is>
      </c>
      <c r="C883" s="11" t="n"/>
    </row>
    <row r="884">
      <c r="B884" s="10" t="inlineStr">
        <is>
          <t>비고</t>
        </is>
      </c>
      <c r="C884" s="7" t="n"/>
    </row>
    <row r="885">
      <c r="A885" s="12" t="n"/>
      <c r="B885" s="12" t="n"/>
      <c r="C885" s="12" t="n"/>
      <c r="D885" s="12" t="n"/>
      <c r="E885" s="12" t="n"/>
    </row>
    <row r="886">
      <c r="B886" s="3" t="inlineStr">
        <is>
          <t>📋 주간 정산 입력  #50</t>
        </is>
      </c>
    </row>
    <row r="887">
      <c r="B887" s="4" t="inlineStr">
        <is>
          <t>월</t>
        </is>
      </c>
      <c r="C887" s="5" t="n"/>
      <c r="D887" s="6" t="inlineStr">
        <is>
          <t>← 1~12</t>
        </is>
      </c>
    </row>
    <row r="888">
      <c r="B888" s="4" t="inlineStr">
        <is>
          <t>주차</t>
        </is>
      </c>
      <c r="C888" s="5" t="n"/>
      <c r="D888" s="6" t="inlineStr">
        <is>
          <t>← 1~5</t>
        </is>
      </c>
    </row>
    <row r="889">
      <c r="B889" s="4" t="inlineStr">
        <is>
          <t>시작일</t>
        </is>
      </c>
      <c r="C889" s="7" t="n"/>
    </row>
    <row r="890">
      <c r="B890" s="4" t="inlineStr">
        <is>
          <t>종료일</t>
        </is>
      </c>
      <c r="C890" s="7" t="n"/>
    </row>
    <row r="891">
      <c r="B891" s="8" t="inlineStr">
        <is>
          <t>■ 매출</t>
        </is>
      </c>
      <c r="C891" s="9" t="n"/>
      <c r="D891" s="9" t="n"/>
    </row>
    <row r="892">
      <c r="B892" s="10" t="inlineStr">
        <is>
          <t>카드매출</t>
        </is>
      </c>
      <c r="C892" s="11" t="n"/>
      <c r="D892" s="6" t="inlineStr">
        <is>
          <t>원</t>
        </is>
      </c>
    </row>
    <row r="893">
      <c r="B893" s="10" t="inlineStr">
        <is>
          <t>현금매출</t>
        </is>
      </c>
      <c r="C893" s="11" t="n"/>
      <c r="D893" s="6" t="inlineStr">
        <is>
          <t>원</t>
        </is>
      </c>
    </row>
    <row r="894">
      <c r="B894" s="8" t="inlineStr">
        <is>
          <t>■ 공과금  (3주차에 지난달분 입력)</t>
        </is>
      </c>
      <c r="C894" s="9" t="n"/>
      <c r="D894" s="9" t="n"/>
    </row>
    <row r="895">
      <c r="B895" s="10" t="inlineStr">
        <is>
          <t>전기요금</t>
        </is>
      </c>
      <c r="C895" s="11" t="n"/>
      <c r="D895" s="6" t="inlineStr">
        <is>
          <t>원 (고지서 그대로)</t>
        </is>
      </c>
    </row>
    <row r="896">
      <c r="B896" s="10" t="inlineStr">
        <is>
          <t>가스요금</t>
        </is>
      </c>
      <c r="C896" s="11" t="n"/>
    </row>
    <row r="897">
      <c r="B897" s="10" t="inlineStr">
        <is>
          <t>수도요금</t>
        </is>
      </c>
      <c r="C897" s="11" t="n"/>
    </row>
    <row r="898">
      <c r="B898" s="8" t="inlineStr">
        <is>
          <t>■ 기타  (발생할 때만)</t>
        </is>
      </c>
      <c r="C898" s="9" t="n"/>
      <c r="D898" s="9" t="n"/>
    </row>
    <row r="899">
      <c r="B899" s="10" t="inlineStr">
        <is>
          <t>정화조 청소</t>
        </is>
      </c>
      <c r="C899" s="11" t="n"/>
    </row>
    <row r="900">
      <c r="B900" s="10" t="inlineStr">
        <is>
          <t>회식 연계매출</t>
        </is>
      </c>
      <c r="C900" s="11" t="n"/>
      <c r="D900" s="6" t="inlineStr">
        <is>
          <t>원 (재생전골 등)</t>
        </is>
      </c>
    </row>
    <row r="901">
      <c r="B901" s="10" t="inlineStr">
        <is>
          <t>기타비용</t>
        </is>
      </c>
      <c r="C901" s="11" t="n"/>
    </row>
    <row r="902">
      <c r="B902" s="10" t="inlineStr">
        <is>
          <t>비고</t>
        </is>
      </c>
      <c r="C902" s="7" t="n"/>
    </row>
    <row r="903">
      <c r="A903" s="12" t="n"/>
      <c r="B903" s="12" t="n"/>
      <c r="C903" s="12" t="n"/>
      <c r="D903" s="12" t="n"/>
      <c r="E903" s="12" t="n"/>
    </row>
    <row r="904">
      <c r="B904" s="3" t="inlineStr">
        <is>
          <t>📋 주간 정산 입력  #51</t>
        </is>
      </c>
    </row>
    <row r="905">
      <c r="B905" s="4" t="inlineStr">
        <is>
          <t>월</t>
        </is>
      </c>
      <c r="C905" s="5" t="n"/>
      <c r="D905" s="6" t="inlineStr">
        <is>
          <t>← 1~12</t>
        </is>
      </c>
    </row>
    <row r="906">
      <c r="B906" s="4" t="inlineStr">
        <is>
          <t>주차</t>
        </is>
      </c>
      <c r="C906" s="5" t="n"/>
      <c r="D906" s="6" t="inlineStr">
        <is>
          <t>← 1~5</t>
        </is>
      </c>
    </row>
    <row r="907">
      <c r="B907" s="4" t="inlineStr">
        <is>
          <t>시작일</t>
        </is>
      </c>
      <c r="C907" s="7" t="n"/>
    </row>
    <row r="908">
      <c r="B908" s="4" t="inlineStr">
        <is>
          <t>종료일</t>
        </is>
      </c>
      <c r="C908" s="7" t="n"/>
    </row>
    <row r="909">
      <c r="B909" s="8" t="inlineStr">
        <is>
          <t>■ 매출</t>
        </is>
      </c>
      <c r="C909" s="9" t="n"/>
      <c r="D909" s="9" t="n"/>
    </row>
    <row r="910">
      <c r="B910" s="10" t="inlineStr">
        <is>
          <t>카드매출</t>
        </is>
      </c>
      <c r="C910" s="11" t="n"/>
      <c r="D910" s="6" t="inlineStr">
        <is>
          <t>원</t>
        </is>
      </c>
    </row>
    <row r="911">
      <c r="B911" s="10" t="inlineStr">
        <is>
          <t>현금매출</t>
        </is>
      </c>
      <c r="C911" s="11" t="n"/>
      <c r="D911" s="6" t="inlineStr">
        <is>
          <t>원</t>
        </is>
      </c>
    </row>
    <row r="912">
      <c r="B912" s="8" t="inlineStr">
        <is>
          <t>■ 공과금  (3주차에 지난달분 입력)</t>
        </is>
      </c>
      <c r="C912" s="9" t="n"/>
      <c r="D912" s="9" t="n"/>
    </row>
    <row r="913">
      <c r="B913" s="10" t="inlineStr">
        <is>
          <t>전기요금</t>
        </is>
      </c>
      <c r="C913" s="11" t="n"/>
      <c r="D913" s="6" t="inlineStr">
        <is>
          <t>원 (고지서 그대로)</t>
        </is>
      </c>
    </row>
    <row r="914">
      <c r="B914" s="10" t="inlineStr">
        <is>
          <t>가스요금</t>
        </is>
      </c>
      <c r="C914" s="11" t="n"/>
    </row>
    <row r="915">
      <c r="B915" s="10" t="inlineStr">
        <is>
          <t>수도요금</t>
        </is>
      </c>
      <c r="C915" s="11" t="n"/>
    </row>
    <row r="916">
      <c r="B916" s="8" t="inlineStr">
        <is>
          <t>■ 기타  (발생할 때만)</t>
        </is>
      </c>
      <c r="C916" s="9" t="n"/>
      <c r="D916" s="9" t="n"/>
    </row>
    <row r="917">
      <c r="B917" s="10" t="inlineStr">
        <is>
          <t>정화조 청소</t>
        </is>
      </c>
      <c r="C917" s="11" t="n"/>
    </row>
    <row r="918">
      <c r="B918" s="10" t="inlineStr">
        <is>
          <t>회식 연계매출</t>
        </is>
      </c>
      <c r="C918" s="11" t="n"/>
      <c r="D918" s="6" t="inlineStr">
        <is>
          <t>원 (재생전골 등)</t>
        </is>
      </c>
    </row>
    <row r="919">
      <c r="B919" s="10" t="inlineStr">
        <is>
          <t>기타비용</t>
        </is>
      </c>
      <c r="C919" s="11" t="n"/>
    </row>
    <row r="920">
      <c r="B920" s="10" t="inlineStr">
        <is>
          <t>비고</t>
        </is>
      </c>
      <c r="C920" s="7" t="n"/>
    </row>
    <row r="921">
      <c r="A921" s="12" t="n"/>
      <c r="B921" s="12" t="n"/>
      <c r="C921" s="12" t="n"/>
      <c r="D921" s="12" t="n"/>
      <c r="E921" s="12" t="n"/>
    </row>
    <row r="922">
      <c r="B922" s="3" t="inlineStr">
        <is>
          <t>📋 주간 정산 입력  #52</t>
        </is>
      </c>
    </row>
    <row r="923">
      <c r="B923" s="4" t="inlineStr">
        <is>
          <t>월</t>
        </is>
      </c>
      <c r="C923" s="5" t="n"/>
      <c r="D923" s="6" t="inlineStr">
        <is>
          <t>← 1~12</t>
        </is>
      </c>
    </row>
    <row r="924">
      <c r="B924" s="4" t="inlineStr">
        <is>
          <t>주차</t>
        </is>
      </c>
      <c r="C924" s="5" t="n"/>
      <c r="D924" s="6" t="inlineStr">
        <is>
          <t>← 1~5</t>
        </is>
      </c>
    </row>
    <row r="925">
      <c r="B925" s="4" t="inlineStr">
        <is>
          <t>시작일</t>
        </is>
      </c>
      <c r="C925" s="7" t="n"/>
    </row>
    <row r="926">
      <c r="B926" s="4" t="inlineStr">
        <is>
          <t>종료일</t>
        </is>
      </c>
      <c r="C926" s="7" t="n"/>
    </row>
    <row r="927">
      <c r="B927" s="8" t="inlineStr">
        <is>
          <t>■ 매출</t>
        </is>
      </c>
      <c r="C927" s="9" t="n"/>
      <c r="D927" s="9" t="n"/>
    </row>
    <row r="928">
      <c r="B928" s="10" t="inlineStr">
        <is>
          <t>카드매출</t>
        </is>
      </c>
      <c r="C928" s="11" t="n"/>
      <c r="D928" s="6" t="inlineStr">
        <is>
          <t>원</t>
        </is>
      </c>
    </row>
    <row r="929">
      <c r="B929" s="10" t="inlineStr">
        <is>
          <t>현금매출</t>
        </is>
      </c>
      <c r="C929" s="11" t="n"/>
      <c r="D929" s="6" t="inlineStr">
        <is>
          <t>원</t>
        </is>
      </c>
    </row>
    <row r="930">
      <c r="B930" s="8" t="inlineStr">
        <is>
          <t>■ 공과금  (3주차에 지난달분 입력)</t>
        </is>
      </c>
      <c r="C930" s="9" t="n"/>
      <c r="D930" s="9" t="n"/>
    </row>
    <row r="931">
      <c r="B931" s="10" t="inlineStr">
        <is>
          <t>전기요금</t>
        </is>
      </c>
      <c r="C931" s="11" t="n"/>
      <c r="D931" s="6" t="inlineStr">
        <is>
          <t>원 (고지서 그대로)</t>
        </is>
      </c>
    </row>
    <row r="932">
      <c r="B932" s="10" t="inlineStr">
        <is>
          <t>가스요금</t>
        </is>
      </c>
      <c r="C932" s="11" t="n"/>
    </row>
    <row r="933">
      <c r="B933" s="10" t="inlineStr">
        <is>
          <t>수도요금</t>
        </is>
      </c>
      <c r="C933" s="11" t="n"/>
    </row>
    <row r="934">
      <c r="B934" s="8" t="inlineStr">
        <is>
          <t>■ 기타  (발생할 때만)</t>
        </is>
      </c>
      <c r="C934" s="9" t="n"/>
      <c r="D934" s="9" t="n"/>
    </row>
    <row r="935">
      <c r="B935" s="10" t="inlineStr">
        <is>
          <t>정화조 청소</t>
        </is>
      </c>
      <c r="C935" s="11" t="n"/>
    </row>
    <row r="936">
      <c r="B936" s="10" t="inlineStr">
        <is>
          <t>회식 연계매출</t>
        </is>
      </c>
      <c r="C936" s="11" t="n"/>
      <c r="D936" s="6" t="inlineStr">
        <is>
          <t>원 (재생전골 등)</t>
        </is>
      </c>
    </row>
    <row r="937">
      <c r="B937" s="10" t="inlineStr">
        <is>
          <t>기타비용</t>
        </is>
      </c>
      <c r="C937" s="11" t="n"/>
    </row>
    <row r="938">
      <c r="B938" s="10" t="inlineStr">
        <is>
          <t>비고</t>
        </is>
      </c>
      <c r="C938" s="7" t="n"/>
    </row>
    <row r="939">
      <c r="A939" s="12" t="n"/>
      <c r="B939" s="12" t="n"/>
      <c r="C939" s="12" t="n"/>
      <c r="D939" s="12" t="n"/>
      <c r="E939" s="12" t="n"/>
    </row>
    <row r="940">
      <c r="B940" s="3" t="inlineStr">
        <is>
          <t>📋 주간 정산 입력  #53</t>
        </is>
      </c>
    </row>
    <row r="941">
      <c r="B941" s="4" t="inlineStr">
        <is>
          <t>월</t>
        </is>
      </c>
      <c r="C941" s="5" t="n"/>
      <c r="D941" s="6" t="inlineStr">
        <is>
          <t>← 1~12</t>
        </is>
      </c>
    </row>
    <row r="942">
      <c r="B942" s="4" t="inlineStr">
        <is>
          <t>주차</t>
        </is>
      </c>
      <c r="C942" s="5" t="n"/>
      <c r="D942" s="6" t="inlineStr">
        <is>
          <t>← 1~5</t>
        </is>
      </c>
    </row>
    <row r="943">
      <c r="B943" s="4" t="inlineStr">
        <is>
          <t>시작일</t>
        </is>
      </c>
      <c r="C943" s="7" t="n"/>
    </row>
    <row r="944">
      <c r="B944" s="4" t="inlineStr">
        <is>
          <t>종료일</t>
        </is>
      </c>
      <c r="C944" s="7" t="n"/>
    </row>
    <row r="945">
      <c r="B945" s="8" t="inlineStr">
        <is>
          <t>■ 매출</t>
        </is>
      </c>
      <c r="C945" s="9" t="n"/>
      <c r="D945" s="9" t="n"/>
    </row>
    <row r="946">
      <c r="B946" s="10" t="inlineStr">
        <is>
          <t>카드매출</t>
        </is>
      </c>
      <c r="C946" s="11" t="n"/>
      <c r="D946" s="6" t="inlineStr">
        <is>
          <t>원</t>
        </is>
      </c>
    </row>
    <row r="947">
      <c r="B947" s="10" t="inlineStr">
        <is>
          <t>현금매출</t>
        </is>
      </c>
      <c r="C947" s="11" t="n"/>
      <c r="D947" s="6" t="inlineStr">
        <is>
          <t>원</t>
        </is>
      </c>
    </row>
    <row r="948">
      <c r="B948" s="8" t="inlineStr">
        <is>
          <t>■ 공과금  (3주차에 지난달분 입력)</t>
        </is>
      </c>
      <c r="C948" s="9" t="n"/>
      <c r="D948" s="9" t="n"/>
    </row>
    <row r="949">
      <c r="B949" s="10" t="inlineStr">
        <is>
          <t>전기요금</t>
        </is>
      </c>
      <c r="C949" s="11" t="n"/>
      <c r="D949" s="6" t="inlineStr">
        <is>
          <t>원 (고지서 그대로)</t>
        </is>
      </c>
    </row>
    <row r="950">
      <c r="B950" s="10" t="inlineStr">
        <is>
          <t>가스요금</t>
        </is>
      </c>
      <c r="C950" s="11" t="n"/>
    </row>
    <row r="951">
      <c r="B951" s="10" t="inlineStr">
        <is>
          <t>수도요금</t>
        </is>
      </c>
      <c r="C951" s="11" t="n"/>
    </row>
    <row r="952">
      <c r="B952" s="8" t="inlineStr">
        <is>
          <t>■ 기타  (발생할 때만)</t>
        </is>
      </c>
      <c r="C952" s="9" t="n"/>
      <c r="D952" s="9" t="n"/>
    </row>
    <row r="953">
      <c r="B953" s="10" t="inlineStr">
        <is>
          <t>정화조 청소</t>
        </is>
      </c>
      <c r="C953" s="11" t="n"/>
    </row>
    <row r="954">
      <c r="B954" s="10" t="inlineStr">
        <is>
          <t>회식 연계매출</t>
        </is>
      </c>
      <c r="C954" s="11" t="n"/>
      <c r="D954" s="6" t="inlineStr">
        <is>
          <t>원 (재생전골 등)</t>
        </is>
      </c>
    </row>
    <row r="955">
      <c r="B955" s="10" t="inlineStr">
        <is>
          <t>기타비용</t>
        </is>
      </c>
      <c r="C955" s="11" t="n"/>
    </row>
    <row r="956">
      <c r="B956" s="10" t="inlineStr">
        <is>
          <t>비고</t>
        </is>
      </c>
      <c r="C956" s="7" t="n"/>
    </row>
    <row r="957">
      <c r="A957" s="12" t="n"/>
      <c r="B957" s="12" t="n"/>
      <c r="C957" s="12" t="n"/>
      <c r="D957" s="12" t="n"/>
      <c r="E957" s="12" t="n"/>
    </row>
    <row r="958">
      <c r="B958" s="3" t="inlineStr">
        <is>
          <t>📋 주간 정산 입력  #54</t>
        </is>
      </c>
    </row>
    <row r="959">
      <c r="B959" s="4" t="inlineStr">
        <is>
          <t>월</t>
        </is>
      </c>
      <c r="C959" s="5" t="n"/>
      <c r="D959" s="6" t="inlineStr">
        <is>
          <t>← 1~12</t>
        </is>
      </c>
    </row>
    <row r="960">
      <c r="B960" s="4" t="inlineStr">
        <is>
          <t>주차</t>
        </is>
      </c>
      <c r="C960" s="5" t="n"/>
      <c r="D960" s="6" t="inlineStr">
        <is>
          <t>← 1~5</t>
        </is>
      </c>
    </row>
    <row r="961">
      <c r="B961" s="4" t="inlineStr">
        <is>
          <t>시작일</t>
        </is>
      </c>
      <c r="C961" s="7" t="n"/>
    </row>
    <row r="962">
      <c r="B962" s="4" t="inlineStr">
        <is>
          <t>종료일</t>
        </is>
      </c>
      <c r="C962" s="7" t="n"/>
    </row>
    <row r="963">
      <c r="B963" s="8" t="inlineStr">
        <is>
          <t>■ 매출</t>
        </is>
      </c>
      <c r="C963" s="9" t="n"/>
      <c r="D963" s="9" t="n"/>
    </row>
    <row r="964">
      <c r="B964" s="10" t="inlineStr">
        <is>
          <t>카드매출</t>
        </is>
      </c>
      <c r="C964" s="11" t="n"/>
      <c r="D964" s="6" t="inlineStr">
        <is>
          <t>원</t>
        </is>
      </c>
    </row>
    <row r="965">
      <c r="B965" s="10" t="inlineStr">
        <is>
          <t>현금매출</t>
        </is>
      </c>
      <c r="C965" s="11" t="n"/>
      <c r="D965" s="6" t="inlineStr">
        <is>
          <t>원</t>
        </is>
      </c>
    </row>
    <row r="966">
      <c r="B966" s="8" t="inlineStr">
        <is>
          <t>■ 공과금  (3주차에 지난달분 입력)</t>
        </is>
      </c>
      <c r="C966" s="9" t="n"/>
      <c r="D966" s="9" t="n"/>
    </row>
    <row r="967">
      <c r="B967" s="10" t="inlineStr">
        <is>
          <t>전기요금</t>
        </is>
      </c>
      <c r="C967" s="11" t="n"/>
      <c r="D967" s="6" t="inlineStr">
        <is>
          <t>원 (고지서 그대로)</t>
        </is>
      </c>
    </row>
    <row r="968">
      <c r="B968" s="10" t="inlineStr">
        <is>
          <t>가스요금</t>
        </is>
      </c>
      <c r="C968" s="11" t="n"/>
    </row>
    <row r="969">
      <c r="B969" s="10" t="inlineStr">
        <is>
          <t>수도요금</t>
        </is>
      </c>
      <c r="C969" s="11" t="n"/>
    </row>
    <row r="970">
      <c r="B970" s="8" t="inlineStr">
        <is>
          <t>■ 기타  (발생할 때만)</t>
        </is>
      </c>
      <c r="C970" s="9" t="n"/>
      <c r="D970" s="9" t="n"/>
    </row>
    <row r="971">
      <c r="B971" s="10" t="inlineStr">
        <is>
          <t>정화조 청소</t>
        </is>
      </c>
      <c r="C971" s="11" t="n"/>
    </row>
    <row r="972">
      <c r="B972" s="10" t="inlineStr">
        <is>
          <t>회식 연계매출</t>
        </is>
      </c>
      <c r="C972" s="11" t="n"/>
      <c r="D972" s="6" t="inlineStr">
        <is>
          <t>원 (재생전골 등)</t>
        </is>
      </c>
    </row>
    <row r="973">
      <c r="B973" s="10" t="inlineStr">
        <is>
          <t>기타비용</t>
        </is>
      </c>
      <c r="C973" s="11" t="n"/>
    </row>
    <row r="974">
      <c r="B974" s="10" t="inlineStr">
        <is>
          <t>비고</t>
        </is>
      </c>
      <c r="C974" s="7" t="n"/>
    </row>
    <row r="975">
      <c r="A975" s="12" t="n"/>
      <c r="B975" s="12" t="n"/>
      <c r="C975" s="12" t="n"/>
      <c r="D975" s="12" t="n"/>
      <c r="E975" s="12" t="n"/>
    </row>
    <row r="976">
      <c r="B976" s="3" t="inlineStr">
        <is>
          <t>📋 주간 정산 입력  #55</t>
        </is>
      </c>
    </row>
    <row r="977">
      <c r="B977" s="4" t="inlineStr">
        <is>
          <t>월</t>
        </is>
      </c>
      <c r="C977" s="5" t="n"/>
      <c r="D977" s="6" t="inlineStr">
        <is>
          <t>← 1~12</t>
        </is>
      </c>
    </row>
    <row r="978">
      <c r="B978" s="4" t="inlineStr">
        <is>
          <t>주차</t>
        </is>
      </c>
      <c r="C978" s="5" t="n"/>
      <c r="D978" s="6" t="inlineStr">
        <is>
          <t>← 1~5</t>
        </is>
      </c>
    </row>
    <row r="979">
      <c r="B979" s="4" t="inlineStr">
        <is>
          <t>시작일</t>
        </is>
      </c>
      <c r="C979" s="7" t="n"/>
    </row>
    <row r="980">
      <c r="B980" s="4" t="inlineStr">
        <is>
          <t>종료일</t>
        </is>
      </c>
      <c r="C980" s="7" t="n"/>
    </row>
    <row r="981">
      <c r="B981" s="8" t="inlineStr">
        <is>
          <t>■ 매출</t>
        </is>
      </c>
      <c r="C981" s="9" t="n"/>
      <c r="D981" s="9" t="n"/>
    </row>
    <row r="982">
      <c r="B982" s="10" t="inlineStr">
        <is>
          <t>카드매출</t>
        </is>
      </c>
      <c r="C982" s="11" t="n"/>
      <c r="D982" s="6" t="inlineStr">
        <is>
          <t>원</t>
        </is>
      </c>
    </row>
    <row r="983">
      <c r="B983" s="10" t="inlineStr">
        <is>
          <t>현금매출</t>
        </is>
      </c>
      <c r="C983" s="11" t="n"/>
      <c r="D983" s="6" t="inlineStr">
        <is>
          <t>원</t>
        </is>
      </c>
    </row>
    <row r="984">
      <c r="B984" s="8" t="inlineStr">
        <is>
          <t>■ 공과금  (3주차에 지난달분 입력)</t>
        </is>
      </c>
      <c r="C984" s="9" t="n"/>
      <c r="D984" s="9" t="n"/>
    </row>
    <row r="985">
      <c r="B985" s="10" t="inlineStr">
        <is>
          <t>전기요금</t>
        </is>
      </c>
      <c r="C985" s="11" t="n"/>
      <c r="D985" s="6" t="inlineStr">
        <is>
          <t>원 (고지서 그대로)</t>
        </is>
      </c>
    </row>
    <row r="986">
      <c r="B986" s="10" t="inlineStr">
        <is>
          <t>가스요금</t>
        </is>
      </c>
      <c r="C986" s="11" t="n"/>
    </row>
    <row r="987">
      <c r="B987" s="10" t="inlineStr">
        <is>
          <t>수도요금</t>
        </is>
      </c>
      <c r="C987" s="11" t="n"/>
    </row>
    <row r="988">
      <c r="B988" s="8" t="inlineStr">
        <is>
          <t>■ 기타  (발생할 때만)</t>
        </is>
      </c>
      <c r="C988" s="9" t="n"/>
      <c r="D988" s="9" t="n"/>
    </row>
    <row r="989">
      <c r="B989" s="10" t="inlineStr">
        <is>
          <t>정화조 청소</t>
        </is>
      </c>
      <c r="C989" s="11" t="n"/>
    </row>
    <row r="990">
      <c r="B990" s="10" t="inlineStr">
        <is>
          <t>회식 연계매출</t>
        </is>
      </c>
      <c r="C990" s="11" t="n"/>
      <c r="D990" s="6" t="inlineStr">
        <is>
          <t>원 (재생전골 등)</t>
        </is>
      </c>
    </row>
    <row r="991">
      <c r="B991" s="10" t="inlineStr">
        <is>
          <t>기타비용</t>
        </is>
      </c>
      <c r="C991" s="11" t="n"/>
    </row>
    <row r="992">
      <c r="B992" s="10" t="inlineStr">
        <is>
          <t>비고</t>
        </is>
      </c>
      <c r="C992" s="7" t="n"/>
    </row>
    <row r="993">
      <c r="A993" s="12" t="n"/>
      <c r="B993" s="12" t="n"/>
      <c r="C993" s="12" t="n"/>
      <c r="D993" s="12" t="n"/>
      <c r="E993" s="12" t="n"/>
    </row>
    <row r="994">
      <c r="B994" s="3" t="inlineStr">
        <is>
          <t>📋 주간 정산 입력  #56</t>
        </is>
      </c>
    </row>
    <row r="995">
      <c r="B995" s="4" t="inlineStr">
        <is>
          <t>월</t>
        </is>
      </c>
      <c r="C995" s="5" t="n"/>
      <c r="D995" s="6" t="inlineStr">
        <is>
          <t>← 1~12</t>
        </is>
      </c>
    </row>
    <row r="996">
      <c r="B996" s="4" t="inlineStr">
        <is>
          <t>주차</t>
        </is>
      </c>
      <c r="C996" s="5" t="n"/>
      <c r="D996" s="6" t="inlineStr">
        <is>
          <t>← 1~5</t>
        </is>
      </c>
    </row>
    <row r="997">
      <c r="B997" s="4" t="inlineStr">
        <is>
          <t>시작일</t>
        </is>
      </c>
      <c r="C997" s="7" t="n"/>
    </row>
    <row r="998">
      <c r="B998" s="4" t="inlineStr">
        <is>
          <t>종료일</t>
        </is>
      </c>
      <c r="C998" s="7" t="n"/>
    </row>
    <row r="999">
      <c r="B999" s="8" t="inlineStr">
        <is>
          <t>■ 매출</t>
        </is>
      </c>
      <c r="C999" s="9" t="n"/>
      <c r="D999" s="9" t="n"/>
    </row>
    <row r="1000">
      <c r="B1000" s="10" t="inlineStr">
        <is>
          <t>카드매출</t>
        </is>
      </c>
      <c r="C1000" s="11" t="n"/>
      <c r="D1000" s="6" t="inlineStr">
        <is>
          <t>원</t>
        </is>
      </c>
    </row>
    <row r="1001">
      <c r="B1001" s="10" t="inlineStr">
        <is>
          <t>현금매출</t>
        </is>
      </c>
      <c r="C1001" s="11" t="n"/>
      <c r="D1001" s="6" t="inlineStr">
        <is>
          <t>원</t>
        </is>
      </c>
    </row>
    <row r="1002">
      <c r="B1002" s="8" t="inlineStr">
        <is>
          <t>■ 공과금  (3주차에 지난달분 입력)</t>
        </is>
      </c>
      <c r="C1002" s="9" t="n"/>
      <c r="D1002" s="9" t="n"/>
    </row>
    <row r="1003">
      <c r="B1003" s="10" t="inlineStr">
        <is>
          <t>전기요금</t>
        </is>
      </c>
      <c r="C1003" s="11" t="n"/>
      <c r="D1003" s="6" t="inlineStr">
        <is>
          <t>원 (고지서 그대로)</t>
        </is>
      </c>
    </row>
    <row r="1004">
      <c r="B1004" s="10" t="inlineStr">
        <is>
          <t>가스요금</t>
        </is>
      </c>
      <c r="C1004" s="11" t="n"/>
    </row>
    <row r="1005">
      <c r="B1005" s="10" t="inlineStr">
        <is>
          <t>수도요금</t>
        </is>
      </c>
      <c r="C1005" s="11" t="n"/>
    </row>
    <row r="1006">
      <c r="B1006" s="8" t="inlineStr">
        <is>
          <t>■ 기타  (발생할 때만)</t>
        </is>
      </c>
      <c r="C1006" s="9" t="n"/>
      <c r="D1006" s="9" t="n"/>
    </row>
    <row r="1007">
      <c r="B1007" s="10" t="inlineStr">
        <is>
          <t>정화조 청소</t>
        </is>
      </c>
      <c r="C1007" s="11" t="n"/>
    </row>
    <row r="1008">
      <c r="B1008" s="10" t="inlineStr">
        <is>
          <t>회식 연계매출</t>
        </is>
      </c>
      <c r="C1008" s="11" t="n"/>
      <c r="D1008" s="6" t="inlineStr">
        <is>
          <t>원 (재생전골 등)</t>
        </is>
      </c>
    </row>
    <row r="1009">
      <c r="B1009" s="10" t="inlineStr">
        <is>
          <t>기타비용</t>
        </is>
      </c>
      <c r="C1009" s="11" t="n"/>
    </row>
    <row r="1010">
      <c r="B1010" s="10" t="inlineStr">
        <is>
          <t>비고</t>
        </is>
      </c>
      <c r="C1010" s="7" t="n"/>
    </row>
    <row r="1011">
      <c r="A1011" s="12" t="n"/>
      <c r="B1011" s="12" t="n"/>
      <c r="C1011" s="12" t="n"/>
      <c r="D1011" s="12" t="n"/>
      <c r="E1011" s="12" t="n"/>
    </row>
    <row r="1012">
      <c r="B1012" s="3" t="inlineStr">
        <is>
          <t>📋 주간 정산 입력  #57</t>
        </is>
      </c>
    </row>
    <row r="1013">
      <c r="B1013" s="4" t="inlineStr">
        <is>
          <t>월</t>
        </is>
      </c>
      <c r="C1013" s="5" t="n"/>
      <c r="D1013" s="6" t="inlineStr">
        <is>
          <t>← 1~12</t>
        </is>
      </c>
    </row>
    <row r="1014">
      <c r="B1014" s="4" t="inlineStr">
        <is>
          <t>주차</t>
        </is>
      </c>
      <c r="C1014" s="5" t="n"/>
      <c r="D1014" s="6" t="inlineStr">
        <is>
          <t>← 1~5</t>
        </is>
      </c>
    </row>
    <row r="1015">
      <c r="B1015" s="4" t="inlineStr">
        <is>
          <t>시작일</t>
        </is>
      </c>
      <c r="C1015" s="7" t="n"/>
    </row>
    <row r="1016">
      <c r="B1016" s="4" t="inlineStr">
        <is>
          <t>종료일</t>
        </is>
      </c>
      <c r="C1016" s="7" t="n"/>
    </row>
    <row r="1017">
      <c r="B1017" s="8" t="inlineStr">
        <is>
          <t>■ 매출</t>
        </is>
      </c>
      <c r="C1017" s="9" t="n"/>
      <c r="D1017" s="9" t="n"/>
    </row>
    <row r="1018">
      <c r="B1018" s="10" t="inlineStr">
        <is>
          <t>카드매출</t>
        </is>
      </c>
      <c r="C1018" s="11" t="n"/>
      <c r="D1018" s="6" t="inlineStr">
        <is>
          <t>원</t>
        </is>
      </c>
    </row>
    <row r="1019">
      <c r="B1019" s="10" t="inlineStr">
        <is>
          <t>현금매출</t>
        </is>
      </c>
      <c r="C1019" s="11" t="n"/>
      <c r="D1019" s="6" t="inlineStr">
        <is>
          <t>원</t>
        </is>
      </c>
    </row>
    <row r="1020">
      <c r="B1020" s="8" t="inlineStr">
        <is>
          <t>■ 공과금  (3주차에 지난달분 입력)</t>
        </is>
      </c>
      <c r="C1020" s="9" t="n"/>
      <c r="D1020" s="9" t="n"/>
    </row>
    <row r="1021">
      <c r="B1021" s="10" t="inlineStr">
        <is>
          <t>전기요금</t>
        </is>
      </c>
      <c r="C1021" s="11" t="n"/>
      <c r="D1021" s="6" t="inlineStr">
        <is>
          <t>원 (고지서 그대로)</t>
        </is>
      </c>
    </row>
    <row r="1022">
      <c r="B1022" s="10" t="inlineStr">
        <is>
          <t>가스요금</t>
        </is>
      </c>
      <c r="C1022" s="11" t="n"/>
    </row>
    <row r="1023">
      <c r="B1023" s="10" t="inlineStr">
        <is>
          <t>수도요금</t>
        </is>
      </c>
      <c r="C1023" s="11" t="n"/>
    </row>
    <row r="1024">
      <c r="B1024" s="8" t="inlineStr">
        <is>
          <t>■ 기타  (발생할 때만)</t>
        </is>
      </c>
      <c r="C1024" s="9" t="n"/>
      <c r="D1024" s="9" t="n"/>
    </row>
    <row r="1025">
      <c r="B1025" s="10" t="inlineStr">
        <is>
          <t>정화조 청소</t>
        </is>
      </c>
      <c r="C1025" s="11" t="n"/>
    </row>
    <row r="1026">
      <c r="B1026" s="10" t="inlineStr">
        <is>
          <t>회식 연계매출</t>
        </is>
      </c>
      <c r="C1026" s="11" t="n"/>
      <c r="D1026" s="6" t="inlineStr">
        <is>
          <t>원 (재생전골 등)</t>
        </is>
      </c>
    </row>
    <row r="1027">
      <c r="B1027" s="10" t="inlineStr">
        <is>
          <t>기타비용</t>
        </is>
      </c>
      <c r="C1027" s="11" t="n"/>
    </row>
    <row r="1028">
      <c r="B1028" s="10" t="inlineStr">
        <is>
          <t>비고</t>
        </is>
      </c>
      <c r="C1028" s="7" t="n"/>
    </row>
    <row r="1029">
      <c r="A1029" s="12" t="n"/>
      <c r="B1029" s="12" t="n"/>
      <c r="C1029" s="12" t="n"/>
      <c r="D1029" s="12" t="n"/>
      <c r="E1029" s="12" t="n"/>
    </row>
    <row r="1030">
      <c r="B1030" s="3" t="inlineStr">
        <is>
          <t>📋 주간 정산 입력  #58</t>
        </is>
      </c>
    </row>
    <row r="1031">
      <c r="B1031" s="4" t="inlineStr">
        <is>
          <t>월</t>
        </is>
      </c>
      <c r="C1031" s="5" t="n"/>
      <c r="D1031" s="6" t="inlineStr">
        <is>
          <t>← 1~12</t>
        </is>
      </c>
    </row>
    <row r="1032">
      <c r="B1032" s="4" t="inlineStr">
        <is>
          <t>주차</t>
        </is>
      </c>
      <c r="C1032" s="5" t="n"/>
      <c r="D1032" s="6" t="inlineStr">
        <is>
          <t>← 1~5</t>
        </is>
      </c>
    </row>
    <row r="1033">
      <c r="B1033" s="4" t="inlineStr">
        <is>
          <t>시작일</t>
        </is>
      </c>
      <c r="C1033" s="7" t="n"/>
    </row>
    <row r="1034">
      <c r="B1034" s="4" t="inlineStr">
        <is>
          <t>종료일</t>
        </is>
      </c>
      <c r="C1034" s="7" t="n"/>
    </row>
    <row r="1035">
      <c r="B1035" s="8" t="inlineStr">
        <is>
          <t>■ 매출</t>
        </is>
      </c>
      <c r="C1035" s="9" t="n"/>
      <c r="D1035" s="9" t="n"/>
    </row>
    <row r="1036">
      <c r="B1036" s="10" t="inlineStr">
        <is>
          <t>카드매출</t>
        </is>
      </c>
      <c r="C1036" s="11" t="n"/>
      <c r="D1036" s="6" t="inlineStr">
        <is>
          <t>원</t>
        </is>
      </c>
    </row>
    <row r="1037">
      <c r="B1037" s="10" t="inlineStr">
        <is>
          <t>현금매출</t>
        </is>
      </c>
      <c r="C1037" s="11" t="n"/>
      <c r="D1037" s="6" t="inlineStr">
        <is>
          <t>원</t>
        </is>
      </c>
    </row>
    <row r="1038">
      <c r="B1038" s="8" t="inlineStr">
        <is>
          <t>■ 공과금  (3주차에 지난달분 입력)</t>
        </is>
      </c>
      <c r="C1038" s="9" t="n"/>
      <c r="D1038" s="9" t="n"/>
    </row>
    <row r="1039">
      <c r="B1039" s="10" t="inlineStr">
        <is>
          <t>전기요금</t>
        </is>
      </c>
      <c r="C1039" s="11" t="n"/>
      <c r="D1039" s="6" t="inlineStr">
        <is>
          <t>원 (고지서 그대로)</t>
        </is>
      </c>
    </row>
    <row r="1040">
      <c r="B1040" s="10" t="inlineStr">
        <is>
          <t>가스요금</t>
        </is>
      </c>
      <c r="C1040" s="11" t="n"/>
    </row>
    <row r="1041">
      <c r="B1041" s="10" t="inlineStr">
        <is>
          <t>수도요금</t>
        </is>
      </c>
      <c r="C1041" s="11" t="n"/>
    </row>
    <row r="1042">
      <c r="B1042" s="8" t="inlineStr">
        <is>
          <t>■ 기타  (발생할 때만)</t>
        </is>
      </c>
      <c r="C1042" s="9" t="n"/>
      <c r="D1042" s="9" t="n"/>
    </row>
    <row r="1043">
      <c r="B1043" s="10" t="inlineStr">
        <is>
          <t>정화조 청소</t>
        </is>
      </c>
      <c r="C1043" s="11" t="n"/>
    </row>
    <row r="1044">
      <c r="B1044" s="10" t="inlineStr">
        <is>
          <t>회식 연계매출</t>
        </is>
      </c>
      <c r="C1044" s="11" t="n"/>
      <c r="D1044" s="6" t="inlineStr">
        <is>
          <t>원 (재생전골 등)</t>
        </is>
      </c>
    </row>
    <row r="1045">
      <c r="B1045" s="10" t="inlineStr">
        <is>
          <t>기타비용</t>
        </is>
      </c>
      <c r="C1045" s="11" t="n"/>
    </row>
    <row r="1046">
      <c r="B1046" s="10" t="inlineStr">
        <is>
          <t>비고</t>
        </is>
      </c>
      <c r="C1046" s="7" t="n"/>
    </row>
    <row r="1047">
      <c r="A1047" s="12" t="n"/>
      <c r="B1047" s="12" t="n"/>
      <c r="C1047" s="12" t="n"/>
      <c r="D1047" s="12" t="n"/>
      <c r="E1047" s="12" t="n"/>
    </row>
    <row r="1048">
      <c r="B1048" s="3" t="inlineStr">
        <is>
          <t>📋 주간 정산 입력  #59</t>
        </is>
      </c>
    </row>
    <row r="1049">
      <c r="B1049" s="4" t="inlineStr">
        <is>
          <t>월</t>
        </is>
      </c>
      <c r="C1049" s="5" t="n"/>
      <c r="D1049" s="6" t="inlineStr">
        <is>
          <t>← 1~12</t>
        </is>
      </c>
    </row>
    <row r="1050">
      <c r="B1050" s="4" t="inlineStr">
        <is>
          <t>주차</t>
        </is>
      </c>
      <c r="C1050" s="5" t="n"/>
      <c r="D1050" s="6" t="inlineStr">
        <is>
          <t>← 1~5</t>
        </is>
      </c>
    </row>
    <row r="1051">
      <c r="B1051" s="4" t="inlineStr">
        <is>
          <t>시작일</t>
        </is>
      </c>
      <c r="C1051" s="7" t="n"/>
    </row>
    <row r="1052">
      <c r="B1052" s="4" t="inlineStr">
        <is>
          <t>종료일</t>
        </is>
      </c>
      <c r="C1052" s="7" t="n"/>
    </row>
    <row r="1053">
      <c r="B1053" s="8" t="inlineStr">
        <is>
          <t>■ 매출</t>
        </is>
      </c>
      <c r="C1053" s="9" t="n"/>
      <c r="D1053" s="9" t="n"/>
    </row>
    <row r="1054">
      <c r="B1054" s="10" t="inlineStr">
        <is>
          <t>카드매출</t>
        </is>
      </c>
      <c r="C1054" s="11" t="n"/>
      <c r="D1054" s="6" t="inlineStr">
        <is>
          <t>원</t>
        </is>
      </c>
    </row>
    <row r="1055">
      <c r="B1055" s="10" t="inlineStr">
        <is>
          <t>현금매출</t>
        </is>
      </c>
      <c r="C1055" s="11" t="n"/>
      <c r="D1055" s="6" t="inlineStr">
        <is>
          <t>원</t>
        </is>
      </c>
    </row>
    <row r="1056">
      <c r="B1056" s="8" t="inlineStr">
        <is>
          <t>■ 공과금  (3주차에 지난달분 입력)</t>
        </is>
      </c>
      <c r="C1056" s="9" t="n"/>
      <c r="D1056" s="9" t="n"/>
    </row>
    <row r="1057">
      <c r="B1057" s="10" t="inlineStr">
        <is>
          <t>전기요금</t>
        </is>
      </c>
      <c r="C1057" s="11" t="n"/>
      <c r="D1057" s="6" t="inlineStr">
        <is>
          <t>원 (고지서 그대로)</t>
        </is>
      </c>
    </row>
    <row r="1058">
      <c r="B1058" s="10" t="inlineStr">
        <is>
          <t>가스요금</t>
        </is>
      </c>
      <c r="C1058" s="11" t="n"/>
    </row>
    <row r="1059">
      <c r="B1059" s="10" t="inlineStr">
        <is>
          <t>수도요금</t>
        </is>
      </c>
      <c r="C1059" s="11" t="n"/>
    </row>
    <row r="1060">
      <c r="B1060" s="8" t="inlineStr">
        <is>
          <t>■ 기타  (발생할 때만)</t>
        </is>
      </c>
      <c r="C1060" s="9" t="n"/>
      <c r="D1060" s="9" t="n"/>
    </row>
    <row r="1061">
      <c r="B1061" s="10" t="inlineStr">
        <is>
          <t>정화조 청소</t>
        </is>
      </c>
      <c r="C1061" s="11" t="n"/>
    </row>
    <row r="1062">
      <c r="B1062" s="10" t="inlineStr">
        <is>
          <t>회식 연계매출</t>
        </is>
      </c>
      <c r="C1062" s="11" t="n"/>
      <c r="D1062" s="6" t="inlineStr">
        <is>
          <t>원 (재생전골 등)</t>
        </is>
      </c>
    </row>
    <row r="1063">
      <c r="B1063" s="10" t="inlineStr">
        <is>
          <t>기타비용</t>
        </is>
      </c>
      <c r="C1063" s="11" t="n"/>
    </row>
    <row r="1064">
      <c r="B1064" s="10" t="inlineStr">
        <is>
          <t>비고</t>
        </is>
      </c>
      <c r="C1064" s="7" t="n"/>
    </row>
    <row r="1065">
      <c r="A1065" s="12" t="n"/>
      <c r="B1065" s="12" t="n"/>
      <c r="C1065" s="12" t="n"/>
      <c r="D1065" s="12" t="n"/>
      <c r="E1065" s="12" t="n"/>
    </row>
    <row r="1066">
      <c r="B1066" s="3" t="inlineStr">
        <is>
          <t>📋 주간 정산 입력  #60</t>
        </is>
      </c>
    </row>
    <row r="1067">
      <c r="B1067" s="4" t="inlineStr">
        <is>
          <t>월</t>
        </is>
      </c>
      <c r="C1067" s="5" t="n"/>
      <c r="D1067" s="6" t="inlineStr">
        <is>
          <t>← 1~12</t>
        </is>
      </c>
    </row>
    <row r="1068">
      <c r="B1068" s="4" t="inlineStr">
        <is>
          <t>주차</t>
        </is>
      </c>
      <c r="C1068" s="5" t="n"/>
      <c r="D1068" s="6" t="inlineStr">
        <is>
          <t>← 1~5</t>
        </is>
      </c>
    </row>
    <row r="1069">
      <c r="B1069" s="4" t="inlineStr">
        <is>
          <t>시작일</t>
        </is>
      </c>
      <c r="C1069" s="7" t="n"/>
    </row>
    <row r="1070">
      <c r="B1070" s="4" t="inlineStr">
        <is>
          <t>종료일</t>
        </is>
      </c>
      <c r="C1070" s="7" t="n"/>
    </row>
    <row r="1071">
      <c r="B1071" s="8" t="inlineStr">
        <is>
          <t>■ 매출</t>
        </is>
      </c>
      <c r="C1071" s="9" t="n"/>
      <c r="D1071" s="9" t="n"/>
    </row>
    <row r="1072">
      <c r="B1072" s="10" t="inlineStr">
        <is>
          <t>카드매출</t>
        </is>
      </c>
      <c r="C1072" s="11" t="n"/>
      <c r="D1072" s="6" t="inlineStr">
        <is>
          <t>원</t>
        </is>
      </c>
    </row>
    <row r="1073">
      <c r="B1073" s="10" t="inlineStr">
        <is>
          <t>현금매출</t>
        </is>
      </c>
      <c r="C1073" s="11" t="n"/>
      <c r="D1073" s="6" t="inlineStr">
        <is>
          <t>원</t>
        </is>
      </c>
    </row>
    <row r="1074">
      <c r="B1074" s="8" t="inlineStr">
        <is>
          <t>■ 공과금  (3주차에 지난달분 입력)</t>
        </is>
      </c>
      <c r="C1074" s="9" t="n"/>
      <c r="D1074" s="9" t="n"/>
    </row>
    <row r="1075">
      <c r="B1075" s="10" t="inlineStr">
        <is>
          <t>전기요금</t>
        </is>
      </c>
      <c r="C1075" s="11" t="n"/>
      <c r="D1075" s="6" t="inlineStr">
        <is>
          <t>원 (고지서 그대로)</t>
        </is>
      </c>
    </row>
    <row r="1076">
      <c r="B1076" s="10" t="inlineStr">
        <is>
          <t>가스요금</t>
        </is>
      </c>
      <c r="C1076" s="11" t="n"/>
    </row>
    <row r="1077">
      <c r="B1077" s="10" t="inlineStr">
        <is>
          <t>수도요금</t>
        </is>
      </c>
      <c r="C1077" s="11" t="n"/>
    </row>
    <row r="1078">
      <c r="B1078" s="8" t="inlineStr">
        <is>
          <t>■ 기타  (발생할 때만)</t>
        </is>
      </c>
      <c r="C1078" s="9" t="n"/>
      <c r="D1078" s="9" t="n"/>
    </row>
    <row r="1079">
      <c r="B1079" s="10" t="inlineStr">
        <is>
          <t>정화조 청소</t>
        </is>
      </c>
      <c r="C1079" s="11" t="n"/>
    </row>
    <row r="1080">
      <c r="B1080" s="10" t="inlineStr">
        <is>
          <t>회식 연계매출</t>
        </is>
      </c>
      <c r="C1080" s="11" t="n"/>
      <c r="D1080" s="6" t="inlineStr">
        <is>
          <t>원 (재생전골 등)</t>
        </is>
      </c>
    </row>
    <row r="1081">
      <c r="B1081" s="10" t="inlineStr">
        <is>
          <t>기타비용</t>
        </is>
      </c>
      <c r="C1081" s="11" t="n"/>
    </row>
    <row r="1082">
      <c r="B1082" s="10" t="inlineStr">
        <is>
          <t>비고</t>
        </is>
      </c>
      <c r="C1082" s="7" t="n"/>
    </row>
    <row r="1083">
      <c r="A1083" s="12" t="n"/>
      <c r="B1083" s="12" t="n"/>
      <c r="C1083" s="12" t="n"/>
      <c r="D1083" s="12" t="n"/>
      <c r="E1083" s="12" t="n"/>
    </row>
  </sheetData>
  <mergeCells count="302">
    <mergeCell ref="A39:E39"/>
    <mergeCell ref="B318:D318"/>
    <mergeCell ref="B729:D729"/>
    <mergeCell ref="B358:D358"/>
    <mergeCell ref="B642:D642"/>
    <mergeCell ref="B760:D760"/>
    <mergeCell ref="B940:D940"/>
    <mergeCell ref="B148:D148"/>
    <mergeCell ref="B765:D765"/>
    <mergeCell ref="B250:D250"/>
    <mergeCell ref="B328:D328"/>
    <mergeCell ref="B603:D603"/>
    <mergeCell ref="B688:D688"/>
    <mergeCell ref="B166:D166"/>
    <mergeCell ref="B495:D495"/>
    <mergeCell ref="B408:D408"/>
    <mergeCell ref="B682:D682"/>
    <mergeCell ref="B520:D520"/>
    <mergeCell ref="B706:D706"/>
    <mergeCell ref="A741:E741"/>
    <mergeCell ref="A921:E921"/>
    <mergeCell ref="B714:D714"/>
    <mergeCell ref="B34:D34"/>
    <mergeCell ref="B448:D448"/>
    <mergeCell ref="B423:D423"/>
    <mergeCell ref="A507:E507"/>
    <mergeCell ref="B279:D279"/>
    <mergeCell ref="A363:E363"/>
    <mergeCell ref="B472:D472"/>
    <mergeCell ref="A345:E345"/>
    <mergeCell ref="B628:D628"/>
    <mergeCell ref="B466:D466"/>
    <mergeCell ref="B84:D84"/>
    <mergeCell ref="A687:E687"/>
    <mergeCell ref="B988:D988"/>
    <mergeCell ref="A255:E255"/>
    <mergeCell ref="B1006:D1006"/>
    <mergeCell ref="B984:D984"/>
    <mergeCell ref="B490:D490"/>
    <mergeCell ref="B30:D30"/>
    <mergeCell ref="A273:E273"/>
    <mergeCell ref="B394:D394"/>
    <mergeCell ref="A453:E453"/>
    <mergeCell ref="B477:D477"/>
    <mergeCell ref="B894:D894"/>
    <mergeCell ref="A21:E21"/>
    <mergeCell ref="B142:D142"/>
    <mergeCell ref="B256:D256"/>
    <mergeCell ref="B369:D369"/>
    <mergeCell ref="B855:D855"/>
    <mergeCell ref="A57:E57"/>
    <mergeCell ref="B94:D94"/>
    <mergeCell ref="B418:D418"/>
    <mergeCell ref="B160:D160"/>
    <mergeCell ref="B4:D4"/>
    <mergeCell ref="A129:E129"/>
    <mergeCell ref="B952:D952"/>
    <mergeCell ref="B135:D135"/>
    <mergeCell ref="B970:D970"/>
    <mergeCell ref="B786:D786"/>
    <mergeCell ref="B531:D531"/>
    <mergeCell ref="B880:D880"/>
    <mergeCell ref="B718:D718"/>
    <mergeCell ref="B945:D945"/>
    <mergeCell ref="A327:E327"/>
    <mergeCell ref="B963:D963"/>
    <mergeCell ref="B1048:D1048"/>
    <mergeCell ref="A165:E165"/>
    <mergeCell ref="B646:D646"/>
    <mergeCell ref="B711:D711"/>
    <mergeCell ref="A705:E705"/>
    <mergeCell ref="B891:D891"/>
    <mergeCell ref="B922:D922"/>
    <mergeCell ref="B70:D70"/>
    <mergeCell ref="A93:E93"/>
    <mergeCell ref="B459:D459"/>
    <mergeCell ref="B228:D228"/>
    <mergeCell ref="A633:E633"/>
    <mergeCell ref="B210:D210"/>
    <mergeCell ref="B412:D412"/>
    <mergeCell ref="A471:E471"/>
    <mergeCell ref="B639:D639"/>
    <mergeCell ref="B783:D783"/>
    <mergeCell ref="B657:D657"/>
    <mergeCell ref="A903:E903"/>
    <mergeCell ref="B120:D120"/>
    <mergeCell ref="B322:D322"/>
    <mergeCell ref="B387:D387"/>
    <mergeCell ref="B1024:D1024"/>
    <mergeCell ref="B225:D225"/>
    <mergeCell ref="B567:D567"/>
    <mergeCell ref="B1020:D1020"/>
    <mergeCell ref="A795:E795"/>
    <mergeCell ref="B405:D405"/>
    <mergeCell ref="B930:D930"/>
    <mergeCell ref="A669:E669"/>
    <mergeCell ref="B88:D88"/>
    <mergeCell ref="B790:D790"/>
    <mergeCell ref="A561:E561"/>
    <mergeCell ref="B171:D171"/>
    <mergeCell ref="B333:D333"/>
    <mergeCell ref="A417:E417"/>
    <mergeCell ref="B696:D696"/>
    <mergeCell ref="B801:D801"/>
    <mergeCell ref="B898:D898"/>
    <mergeCell ref="B958:D958"/>
    <mergeCell ref="B1038:D1038"/>
    <mergeCell ref="B99:D99"/>
    <mergeCell ref="A183:E183"/>
    <mergeCell ref="B304:D304"/>
    <mergeCell ref="B664:D664"/>
    <mergeCell ref="B904:D904"/>
    <mergeCell ref="B9:D9"/>
    <mergeCell ref="B844:D844"/>
    <mergeCell ref="B1071:D1071"/>
    <mergeCell ref="A75:E75"/>
    <mergeCell ref="B372:D372"/>
    <mergeCell ref="B310:D310"/>
    <mergeCell ref="B556:D556"/>
    <mergeCell ref="B909:D909"/>
    <mergeCell ref="B124:D124"/>
    <mergeCell ref="A885:E885"/>
    <mergeCell ref="B207:D207"/>
    <mergeCell ref="A1065:E1065"/>
    <mergeCell ref="B76:D76"/>
    <mergeCell ref="B189:D189"/>
    <mergeCell ref="B45:D45"/>
    <mergeCell ref="A1083:E1083"/>
    <mergeCell ref="B570:D570"/>
    <mergeCell ref="B585:D585"/>
    <mergeCell ref="A813:E813"/>
    <mergeCell ref="B934:D934"/>
    <mergeCell ref="A651:E651"/>
    <mergeCell ref="B948:D948"/>
    <mergeCell ref="B772:D772"/>
    <mergeCell ref="B886:D886"/>
    <mergeCell ref="A831:E831"/>
    <mergeCell ref="A993:E993"/>
    <mergeCell ref="B999:D999"/>
    <mergeCell ref="B1066:D1066"/>
    <mergeCell ref="A219:E219"/>
    <mergeCell ref="B336:D336"/>
    <mergeCell ref="B351:D351"/>
    <mergeCell ref="A579:E579"/>
    <mergeCell ref="B634:D634"/>
    <mergeCell ref="B232:D232"/>
    <mergeCell ref="B516:D516"/>
    <mergeCell ref="B700:D700"/>
    <mergeCell ref="A759:E759"/>
    <mergeCell ref="A597:E597"/>
    <mergeCell ref="B876:D876"/>
    <mergeCell ref="B264:D264"/>
    <mergeCell ref="B202:D202"/>
    <mergeCell ref="A147:E147"/>
    <mergeCell ref="B102:D102"/>
    <mergeCell ref="B562:D562"/>
    <mergeCell ref="B675:D675"/>
    <mergeCell ref="B400:D400"/>
    <mergeCell ref="B282:D282"/>
    <mergeCell ref="B513:D513"/>
    <mergeCell ref="B724:D724"/>
    <mergeCell ref="B580:D580"/>
    <mergeCell ref="A525:E525"/>
    <mergeCell ref="B1053:D1053"/>
    <mergeCell ref="A957:E957"/>
    <mergeCell ref="B441:D441"/>
    <mergeCell ref="B297:D297"/>
    <mergeCell ref="B508:D508"/>
    <mergeCell ref="B48:D48"/>
    <mergeCell ref="B621:D621"/>
    <mergeCell ref="B346:D346"/>
    <mergeCell ref="B819:D819"/>
    <mergeCell ref="B862:D862"/>
    <mergeCell ref="A201:E201"/>
    <mergeCell ref="B858:D858"/>
    <mergeCell ref="B1:D1"/>
    <mergeCell ref="B1060:D1060"/>
    <mergeCell ref="B670:D670"/>
    <mergeCell ref="A615:E615"/>
    <mergeCell ref="B274:D274"/>
    <mergeCell ref="B750:D750"/>
    <mergeCell ref="B606:D606"/>
    <mergeCell ref="A1011:E1011"/>
    <mergeCell ref="B544:D544"/>
    <mergeCell ref="B243:D243"/>
    <mergeCell ref="B376:D376"/>
    <mergeCell ref="A399:E399"/>
    <mergeCell ref="B178:D178"/>
    <mergeCell ref="B436:D436"/>
    <mergeCell ref="A237:E237"/>
    <mergeCell ref="B534:D534"/>
    <mergeCell ref="B678:D678"/>
    <mergeCell ref="B1035:D1035"/>
    <mergeCell ref="A777:E777"/>
    <mergeCell ref="B814:D814"/>
    <mergeCell ref="B426:D426"/>
    <mergeCell ref="B364:D364"/>
    <mergeCell ref="B300:D300"/>
    <mergeCell ref="B192:D192"/>
    <mergeCell ref="B624:D624"/>
    <mergeCell ref="B462:D462"/>
    <mergeCell ref="B804:D804"/>
    <mergeCell ref="A723:E723"/>
    <mergeCell ref="A867:E867"/>
    <mergeCell ref="A1047:E1047"/>
    <mergeCell ref="B1002:D1002"/>
    <mergeCell ref="B498:D498"/>
    <mergeCell ref="B63:D63"/>
    <mergeCell ref="B796:D796"/>
    <mergeCell ref="B840:D840"/>
    <mergeCell ref="B390:D390"/>
    <mergeCell ref="A489:E489"/>
    <mergeCell ref="B754:D754"/>
    <mergeCell ref="B286:D286"/>
    <mergeCell ref="B837:D837"/>
    <mergeCell ref="B873:D873"/>
    <mergeCell ref="B138:D138"/>
    <mergeCell ref="B868:D868"/>
    <mergeCell ref="B156:D156"/>
    <mergeCell ref="B454:D454"/>
    <mergeCell ref="B66:D66"/>
    <mergeCell ref="A849:E849"/>
    <mergeCell ref="B22:D22"/>
    <mergeCell ref="B382:D382"/>
    <mergeCell ref="B966:D966"/>
    <mergeCell ref="B238:D238"/>
    <mergeCell ref="B981:D981"/>
    <mergeCell ref="B220:D220"/>
    <mergeCell ref="A435:E435"/>
    <mergeCell ref="B916:D916"/>
    <mergeCell ref="B130:D130"/>
    <mergeCell ref="B12:D12"/>
    <mergeCell ref="B832:D832"/>
    <mergeCell ref="B732:D732"/>
    <mergeCell ref="B1074:D1074"/>
    <mergeCell ref="B1078:D1078"/>
    <mergeCell ref="B117:D117"/>
    <mergeCell ref="B912:D912"/>
    <mergeCell ref="B1030:D1030"/>
    <mergeCell ref="B480:D480"/>
    <mergeCell ref="B538:D538"/>
    <mergeCell ref="B598:D598"/>
    <mergeCell ref="B822:D822"/>
    <mergeCell ref="B660:D660"/>
    <mergeCell ref="B927:D927"/>
    <mergeCell ref="B430:D430"/>
    <mergeCell ref="A939:E939"/>
    <mergeCell ref="B976:D976"/>
    <mergeCell ref="B610:D610"/>
    <mergeCell ref="A291:E291"/>
    <mergeCell ref="B588:D588"/>
    <mergeCell ref="B1017:D1017"/>
    <mergeCell ref="B196:D196"/>
    <mergeCell ref="B747:D747"/>
    <mergeCell ref="B174:D174"/>
    <mergeCell ref="B112:D112"/>
    <mergeCell ref="B354:D354"/>
    <mergeCell ref="B808:D808"/>
    <mergeCell ref="B652:D652"/>
    <mergeCell ref="A1029:E1029"/>
    <mergeCell ref="B246:D246"/>
    <mergeCell ref="B40:D40"/>
    <mergeCell ref="B574:D574"/>
    <mergeCell ref="B1056:D1056"/>
    <mergeCell ref="B850:D850"/>
    <mergeCell ref="B444:D444"/>
    <mergeCell ref="B549:D549"/>
    <mergeCell ref="A381:E381"/>
    <mergeCell ref="B742:D742"/>
    <mergeCell ref="B502:D502"/>
    <mergeCell ref="A543:E543"/>
    <mergeCell ref="B340:D340"/>
    <mergeCell ref="B778:D778"/>
    <mergeCell ref="B616:D616"/>
    <mergeCell ref="B315:D315"/>
    <mergeCell ref="B268:D268"/>
    <mergeCell ref="B153:D153"/>
    <mergeCell ref="A309:E309"/>
    <mergeCell ref="B526:D526"/>
    <mergeCell ref="B106:D106"/>
    <mergeCell ref="B693:D693"/>
    <mergeCell ref="B1042:D1042"/>
    <mergeCell ref="B16:D16"/>
    <mergeCell ref="B81:D81"/>
    <mergeCell ref="B261:D261"/>
    <mergeCell ref="B292:D292"/>
    <mergeCell ref="A975:E975"/>
    <mergeCell ref="B768:D768"/>
    <mergeCell ref="B826:D826"/>
    <mergeCell ref="B184:D184"/>
    <mergeCell ref="B214:D214"/>
    <mergeCell ref="B27:D27"/>
    <mergeCell ref="B58:D58"/>
    <mergeCell ref="B52:D52"/>
    <mergeCell ref="B552:D552"/>
    <mergeCell ref="A111:E111"/>
    <mergeCell ref="B736:D736"/>
    <mergeCell ref="B994:D994"/>
    <mergeCell ref="B592:D592"/>
    <mergeCell ref="B1012:D1012"/>
    <mergeCell ref="B2:D2"/>
    <mergeCell ref="B484:D48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미식가의 주방 — 경영 대시보드 (2026년)</t>
        </is>
      </c>
    </row>
    <row r="2">
      <c r="M2" s="13" t="inlineStr">
        <is>
          <t>현재월 →</t>
        </is>
      </c>
      <c r="N2" s="14" t="n">
        <v>3</v>
      </c>
    </row>
    <row r="3">
      <c r="B3" s="15" t="inlineStr">
        <is>
          <t>이번달 총매출</t>
        </is>
      </c>
      <c r="C3" s="16" t="n"/>
      <c r="E3" s="15" t="inlineStr">
        <is>
          <t>이번달 수수료수익</t>
        </is>
      </c>
      <c r="F3" s="16" t="n"/>
      <c r="H3" s="15" t="inlineStr">
        <is>
          <t>이번달 임대수익</t>
        </is>
      </c>
      <c r="I3" s="16" t="n"/>
      <c r="K3" s="15" t="inlineStr">
        <is>
          <t>연간 누적매출</t>
        </is>
      </c>
      <c r="L3" s="16" t="n"/>
    </row>
    <row r="4">
      <c r="B4" s="17">
        <f>INDEX(D9:D20,N2)</f>
        <v/>
      </c>
      <c r="C4" s="16" t="n"/>
      <c r="E4" s="17">
        <f>INDEX(G9:G20,N2)</f>
        <v/>
      </c>
      <c r="F4" s="16" t="n"/>
      <c r="H4" s="17">
        <f>INDEX(H9:H20,N2)+INDEX(I9:I20,N2)</f>
        <v/>
      </c>
      <c r="I4" s="16" t="n"/>
      <c r="K4" s="17">
        <f>D21</f>
        <v/>
      </c>
      <c r="L4" s="16" t="n"/>
    </row>
    <row r="7">
      <c r="A7" s="18" t="inlineStr">
        <is>
          <t>📊 월별 정산 요약</t>
        </is>
      </c>
    </row>
    <row r="8">
      <c r="A8" s="19" t="inlineStr">
        <is>
          <t>월</t>
        </is>
      </c>
      <c r="B8" s="19" t="inlineStr">
        <is>
          <t>카드매출</t>
        </is>
      </c>
      <c r="C8" s="19" t="inlineStr">
        <is>
          <t>현금매출</t>
        </is>
      </c>
      <c r="D8" s="19" t="inlineStr">
        <is>
          <t>총매출</t>
        </is>
      </c>
      <c r="E8" s="19" t="inlineStr">
        <is>
          <t>카드수수료</t>
        </is>
      </c>
      <c r="F8" s="19" t="inlineStr">
        <is>
          <t>현금수수료</t>
        </is>
      </c>
      <c r="G8" s="19" t="inlineStr">
        <is>
          <t>수수료합계</t>
        </is>
      </c>
      <c r="H8" s="19" t="inlineStr">
        <is>
          <t>임대료</t>
        </is>
      </c>
      <c r="I8" s="19" t="inlineStr">
        <is>
          <t>관리비</t>
        </is>
      </c>
      <c r="J8" s="19" t="inlineStr">
        <is>
          <t>공과금</t>
        </is>
      </c>
      <c r="K8" s="19" t="inlineStr">
        <is>
          <t>총차감</t>
        </is>
      </c>
      <c r="L8" s="19" t="inlineStr">
        <is>
          <t>미식가지급</t>
        </is>
      </c>
      <c r="M8" s="19" t="inlineStr">
        <is>
          <t>현금수령</t>
        </is>
      </c>
    </row>
    <row r="9">
      <c r="A9" s="20" t="inlineStr">
        <is>
          <t>1월</t>
        </is>
      </c>
      <c r="B9" s="21">
        <f>'정산 요약'!E9</f>
        <v/>
      </c>
      <c r="C9" s="21">
        <f>'정산 요약'!F9</f>
        <v/>
      </c>
      <c r="D9" s="21">
        <f>'정산 요약'!G9</f>
        <v/>
      </c>
      <c r="E9" s="21">
        <f>'정산 요약'!H9</f>
        <v/>
      </c>
      <c r="F9" s="21">
        <f>'정산 요약'!I9</f>
        <v/>
      </c>
      <c r="G9" s="21">
        <f>'정산 요약'!J9</f>
        <v/>
      </c>
      <c r="H9" s="21">
        <f>'정산 요약'!L9</f>
        <v/>
      </c>
      <c r="I9" s="21">
        <f>'정산 요약'!N9</f>
        <v/>
      </c>
      <c r="J9" s="21">
        <f>'정산 요약'!O9</f>
        <v/>
      </c>
      <c r="K9" s="22">
        <f>'정산 요약'!Q9</f>
        <v/>
      </c>
      <c r="L9" s="22">
        <f>'정산 요약'!R9</f>
        <v/>
      </c>
      <c r="M9" s="21">
        <f>'정산 요약'!S9</f>
        <v/>
      </c>
    </row>
    <row r="10">
      <c r="A10" s="20" t="inlineStr">
        <is>
          <t>2월</t>
        </is>
      </c>
      <c r="B10" s="21">
        <f>'정산 요약'!E15</f>
        <v/>
      </c>
      <c r="C10" s="21">
        <f>'정산 요약'!F15</f>
        <v/>
      </c>
      <c r="D10" s="21">
        <f>'정산 요약'!G15</f>
        <v/>
      </c>
      <c r="E10" s="21">
        <f>'정산 요약'!H15</f>
        <v/>
      </c>
      <c r="F10" s="21">
        <f>'정산 요약'!I15</f>
        <v/>
      </c>
      <c r="G10" s="21">
        <f>'정산 요약'!J15</f>
        <v/>
      </c>
      <c r="H10" s="21">
        <f>'정산 요약'!L15</f>
        <v/>
      </c>
      <c r="I10" s="21">
        <f>'정산 요약'!N15</f>
        <v/>
      </c>
      <c r="J10" s="21">
        <f>'정산 요약'!O15</f>
        <v/>
      </c>
      <c r="K10" s="22">
        <f>'정산 요약'!Q15</f>
        <v/>
      </c>
      <c r="L10" s="22">
        <f>'정산 요약'!R15</f>
        <v/>
      </c>
      <c r="M10" s="21">
        <f>'정산 요약'!S15</f>
        <v/>
      </c>
    </row>
    <row r="11">
      <c r="A11" s="20" t="inlineStr">
        <is>
          <t>3월</t>
        </is>
      </c>
      <c r="B11" s="21">
        <f>'정산 요약'!E21</f>
        <v/>
      </c>
      <c r="C11" s="21">
        <f>'정산 요약'!F21</f>
        <v/>
      </c>
      <c r="D11" s="21">
        <f>'정산 요약'!G21</f>
        <v/>
      </c>
      <c r="E11" s="21">
        <f>'정산 요약'!H21</f>
        <v/>
      </c>
      <c r="F11" s="21">
        <f>'정산 요약'!I21</f>
        <v/>
      </c>
      <c r="G11" s="21">
        <f>'정산 요약'!J21</f>
        <v/>
      </c>
      <c r="H11" s="21">
        <f>'정산 요약'!L21</f>
        <v/>
      </c>
      <c r="I11" s="21">
        <f>'정산 요약'!N21</f>
        <v/>
      </c>
      <c r="J11" s="21">
        <f>'정산 요약'!O21</f>
        <v/>
      </c>
      <c r="K11" s="22">
        <f>'정산 요약'!Q21</f>
        <v/>
      </c>
      <c r="L11" s="22">
        <f>'정산 요약'!R21</f>
        <v/>
      </c>
      <c r="M11" s="21">
        <f>'정산 요약'!S21</f>
        <v/>
      </c>
    </row>
    <row r="12">
      <c r="A12" s="20" t="inlineStr">
        <is>
          <t>4월</t>
        </is>
      </c>
      <c r="B12" s="21">
        <f>'정산 요약'!E27</f>
        <v/>
      </c>
      <c r="C12" s="21">
        <f>'정산 요약'!F27</f>
        <v/>
      </c>
      <c r="D12" s="21">
        <f>'정산 요약'!G27</f>
        <v/>
      </c>
      <c r="E12" s="21">
        <f>'정산 요약'!H27</f>
        <v/>
      </c>
      <c r="F12" s="21">
        <f>'정산 요약'!I27</f>
        <v/>
      </c>
      <c r="G12" s="21">
        <f>'정산 요약'!J27</f>
        <v/>
      </c>
      <c r="H12" s="21">
        <f>'정산 요약'!L27</f>
        <v/>
      </c>
      <c r="I12" s="21">
        <f>'정산 요약'!N27</f>
        <v/>
      </c>
      <c r="J12" s="21">
        <f>'정산 요약'!O27</f>
        <v/>
      </c>
      <c r="K12" s="22">
        <f>'정산 요약'!Q27</f>
        <v/>
      </c>
      <c r="L12" s="22">
        <f>'정산 요약'!R27</f>
        <v/>
      </c>
      <c r="M12" s="21">
        <f>'정산 요약'!S27</f>
        <v/>
      </c>
    </row>
    <row r="13">
      <c r="A13" s="20" t="inlineStr">
        <is>
          <t>5월</t>
        </is>
      </c>
      <c r="B13" s="21">
        <f>'정산 요약'!E33</f>
        <v/>
      </c>
      <c r="C13" s="21">
        <f>'정산 요약'!F33</f>
        <v/>
      </c>
      <c r="D13" s="21">
        <f>'정산 요약'!G33</f>
        <v/>
      </c>
      <c r="E13" s="21">
        <f>'정산 요약'!H33</f>
        <v/>
      </c>
      <c r="F13" s="21">
        <f>'정산 요약'!I33</f>
        <v/>
      </c>
      <c r="G13" s="21">
        <f>'정산 요약'!J33</f>
        <v/>
      </c>
      <c r="H13" s="21">
        <f>'정산 요약'!L33</f>
        <v/>
      </c>
      <c r="I13" s="21">
        <f>'정산 요약'!N33</f>
        <v/>
      </c>
      <c r="J13" s="21">
        <f>'정산 요약'!O33</f>
        <v/>
      </c>
      <c r="K13" s="22">
        <f>'정산 요약'!Q33</f>
        <v/>
      </c>
      <c r="L13" s="22">
        <f>'정산 요약'!R33</f>
        <v/>
      </c>
      <c r="M13" s="21">
        <f>'정산 요약'!S33</f>
        <v/>
      </c>
    </row>
    <row r="14">
      <c r="A14" s="20" t="inlineStr">
        <is>
          <t>6월</t>
        </is>
      </c>
      <c r="B14" s="21">
        <f>'정산 요약'!E39</f>
        <v/>
      </c>
      <c r="C14" s="21">
        <f>'정산 요약'!F39</f>
        <v/>
      </c>
      <c r="D14" s="21">
        <f>'정산 요약'!G39</f>
        <v/>
      </c>
      <c r="E14" s="21">
        <f>'정산 요약'!H39</f>
        <v/>
      </c>
      <c r="F14" s="21">
        <f>'정산 요약'!I39</f>
        <v/>
      </c>
      <c r="G14" s="21">
        <f>'정산 요약'!J39</f>
        <v/>
      </c>
      <c r="H14" s="21">
        <f>'정산 요약'!L39</f>
        <v/>
      </c>
      <c r="I14" s="21">
        <f>'정산 요약'!N39</f>
        <v/>
      </c>
      <c r="J14" s="21">
        <f>'정산 요약'!O39</f>
        <v/>
      </c>
      <c r="K14" s="22">
        <f>'정산 요약'!Q39</f>
        <v/>
      </c>
      <c r="L14" s="22">
        <f>'정산 요약'!R39</f>
        <v/>
      </c>
      <c r="M14" s="21">
        <f>'정산 요약'!S39</f>
        <v/>
      </c>
    </row>
    <row r="15">
      <c r="A15" s="20" t="inlineStr">
        <is>
          <t>7월</t>
        </is>
      </c>
      <c r="B15" s="21">
        <f>'정산 요약'!E45</f>
        <v/>
      </c>
      <c r="C15" s="21">
        <f>'정산 요약'!F45</f>
        <v/>
      </c>
      <c r="D15" s="21">
        <f>'정산 요약'!G45</f>
        <v/>
      </c>
      <c r="E15" s="21">
        <f>'정산 요약'!H45</f>
        <v/>
      </c>
      <c r="F15" s="21">
        <f>'정산 요약'!I45</f>
        <v/>
      </c>
      <c r="G15" s="21">
        <f>'정산 요약'!J45</f>
        <v/>
      </c>
      <c r="H15" s="21">
        <f>'정산 요약'!L45</f>
        <v/>
      </c>
      <c r="I15" s="21">
        <f>'정산 요약'!N45</f>
        <v/>
      </c>
      <c r="J15" s="21">
        <f>'정산 요약'!O45</f>
        <v/>
      </c>
      <c r="K15" s="22">
        <f>'정산 요약'!Q45</f>
        <v/>
      </c>
      <c r="L15" s="22">
        <f>'정산 요약'!R45</f>
        <v/>
      </c>
      <c r="M15" s="21">
        <f>'정산 요약'!S45</f>
        <v/>
      </c>
    </row>
    <row r="16">
      <c r="A16" s="20" t="inlineStr">
        <is>
          <t>8월</t>
        </is>
      </c>
      <c r="B16" s="21">
        <f>'정산 요약'!E51</f>
        <v/>
      </c>
      <c r="C16" s="21">
        <f>'정산 요약'!F51</f>
        <v/>
      </c>
      <c r="D16" s="21">
        <f>'정산 요약'!G51</f>
        <v/>
      </c>
      <c r="E16" s="21">
        <f>'정산 요약'!H51</f>
        <v/>
      </c>
      <c r="F16" s="21">
        <f>'정산 요약'!I51</f>
        <v/>
      </c>
      <c r="G16" s="21">
        <f>'정산 요약'!J51</f>
        <v/>
      </c>
      <c r="H16" s="21">
        <f>'정산 요약'!L51</f>
        <v/>
      </c>
      <c r="I16" s="21">
        <f>'정산 요약'!N51</f>
        <v/>
      </c>
      <c r="J16" s="21">
        <f>'정산 요약'!O51</f>
        <v/>
      </c>
      <c r="K16" s="22">
        <f>'정산 요약'!Q51</f>
        <v/>
      </c>
      <c r="L16" s="22">
        <f>'정산 요약'!R51</f>
        <v/>
      </c>
      <c r="M16" s="21">
        <f>'정산 요약'!S51</f>
        <v/>
      </c>
    </row>
    <row r="17">
      <c r="A17" s="20" t="inlineStr">
        <is>
          <t>9월</t>
        </is>
      </c>
      <c r="B17" s="21">
        <f>'정산 요약'!E57</f>
        <v/>
      </c>
      <c r="C17" s="21">
        <f>'정산 요약'!F57</f>
        <v/>
      </c>
      <c r="D17" s="21">
        <f>'정산 요약'!G57</f>
        <v/>
      </c>
      <c r="E17" s="21">
        <f>'정산 요약'!H57</f>
        <v/>
      </c>
      <c r="F17" s="21">
        <f>'정산 요약'!I57</f>
        <v/>
      </c>
      <c r="G17" s="21">
        <f>'정산 요약'!J57</f>
        <v/>
      </c>
      <c r="H17" s="21">
        <f>'정산 요약'!L57</f>
        <v/>
      </c>
      <c r="I17" s="21">
        <f>'정산 요약'!N57</f>
        <v/>
      </c>
      <c r="J17" s="21">
        <f>'정산 요약'!O57</f>
        <v/>
      </c>
      <c r="K17" s="22">
        <f>'정산 요약'!Q57</f>
        <v/>
      </c>
      <c r="L17" s="22">
        <f>'정산 요약'!R57</f>
        <v/>
      </c>
      <c r="M17" s="21">
        <f>'정산 요약'!S57</f>
        <v/>
      </c>
    </row>
    <row r="18">
      <c r="A18" s="20" t="inlineStr">
        <is>
          <t>10월</t>
        </is>
      </c>
      <c r="B18" s="21">
        <f>'정산 요약'!E63</f>
        <v/>
      </c>
      <c r="C18" s="21">
        <f>'정산 요약'!F63</f>
        <v/>
      </c>
      <c r="D18" s="21">
        <f>'정산 요약'!G63</f>
        <v/>
      </c>
      <c r="E18" s="21">
        <f>'정산 요약'!H63</f>
        <v/>
      </c>
      <c r="F18" s="21">
        <f>'정산 요약'!I63</f>
        <v/>
      </c>
      <c r="G18" s="21">
        <f>'정산 요약'!J63</f>
        <v/>
      </c>
      <c r="H18" s="21">
        <f>'정산 요약'!L63</f>
        <v/>
      </c>
      <c r="I18" s="21">
        <f>'정산 요약'!N63</f>
        <v/>
      </c>
      <c r="J18" s="21">
        <f>'정산 요약'!O63</f>
        <v/>
      </c>
      <c r="K18" s="22">
        <f>'정산 요약'!Q63</f>
        <v/>
      </c>
      <c r="L18" s="22">
        <f>'정산 요약'!R63</f>
        <v/>
      </c>
      <c r="M18" s="21">
        <f>'정산 요약'!S63</f>
        <v/>
      </c>
    </row>
    <row r="19">
      <c r="A19" s="20" t="inlineStr">
        <is>
          <t>11월</t>
        </is>
      </c>
      <c r="B19" s="21">
        <f>'정산 요약'!E69</f>
        <v/>
      </c>
      <c r="C19" s="21">
        <f>'정산 요약'!F69</f>
        <v/>
      </c>
      <c r="D19" s="21">
        <f>'정산 요약'!G69</f>
        <v/>
      </c>
      <c r="E19" s="21">
        <f>'정산 요약'!H69</f>
        <v/>
      </c>
      <c r="F19" s="21">
        <f>'정산 요약'!I69</f>
        <v/>
      </c>
      <c r="G19" s="21">
        <f>'정산 요약'!J69</f>
        <v/>
      </c>
      <c r="H19" s="21">
        <f>'정산 요약'!L69</f>
        <v/>
      </c>
      <c r="I19" s="21">
        <f>'정산 요약'!N69</f>
        <v/>
      </c>
      <c r="J19" s="21">
        <f>'정산 요약'!O69</f>
        <v/>
      </c>
      <c r="K19" s="22">
        <f>'정산 요약'!Q69</f>
        <v/>
      </c>
      <c r="L19" s="22">
        <f>'정산 요약'!R69</f>
        <v/>
      </c>
      <c r="M19" s="21">
        <f>'정산 요약'!S69</f>
        <v/>
      </c>
    </row>
    <row r="20">
      <c r="A20" s="20" t="inlineStr">
        <is>
          <t>12월</t>
        </is>
      </c>
      <c r="B20" s="21">
        <f>'정산 요약'!E75</f>
        <v/>
      </c>
      <c r="C20" s="21">
        <f>'정산 요약'!F75</f>
        <v/>
      </c>
      <c r="D20" s="21">
        <f>'정산 요약'!G75</f>
        <v/>
      </c>
      <c r="E20" s="21">
        <f>'정산 요약'!H75</f>
        <v/>
      </c>
      <c r="F20" s="21">
        <f>'정산 요약'!I75</f>
        <v/>
      </c>
      <c r="G20" s="21">
        <f>'정산 요약'!J75</f>
        <v/>
      </c>
      <c r="H20" s="21">
        <f>'정산 요약'!L75</f>
        <v/>
      </c>
      <c r="I20" s="21">
        <f>'정산 요약'!N75</f>
        <v/>
      </c>
      <c r="J20" s="21">
        <f>'정산 요약'!O75</f>
        <v/>
      </c>
      <c r="K20" s="22">
        <f>'정산 요약'!Q75</f>
        <v/>
      </c>
      <c r="L20" s="22">
        <f>'정산 요약'!R75</f>
        <v/>
      </c>
      <c r="M20" s="21">
        <f>'정산 요약'!S75</f>
        <v/>
      </c>
    </row>
    <row r="21">
      <c r="A21" s="23" t="inlineStr">
        <is>
          <t>합계</t>
        </is>
      </c>
      <c r="B21" s="24">
        <f>SUM(B9:B20)</f>
        <v/>
      </c>
      <c r="C21" s="24">
        <f>SUM(C9:C20)</f>
        <v/>
      </c>
      <c r="D21" s="24">
        <f>SUM(D9:D20)</f>
        <v/>
      </c>
      <c r="E21" s="24">
        <f>SUM(E9:E20)</f>
        <v/>
      </c>
      <c r="F21" s="24">
        <f>SUM(F9:F20)</f>
        <v/>
      </c>
      <c r="G21" s="24">
        <f>SUM(G9:G20)</f>
        <v/>
      </c>
      <c r="H21" s="24">
        <f>SUM(H9:H20)</f>
        <v/>
      </c>
      <c r="I21" s="24">
        <f>SUM(I9:I20)</f>
        <v/>
      </c>
      <c r="J21" s="24">
        <f>SUM(J9:J20)</f>
        <v/>
      </c>
      <c r="K21" s="24">
        <f>SUM(K9:K20)</f>
        <v/>
      </c>
      <c r="L21" s="24">
        <f>SUM(L9:L20)</f>
        <v/>
      </c>
      <c r="M21" s="24">
        <f>SUM(M9:M20)</f>
        <v/>
      </c>
    </row>
    <row r="40">
      <c r="A40" s="25" t="inlineStr">
        <is>
          <t>수익 구성 데이터</t>
        </is>
      </c>
    </row>
    <row r="41">
      <c r="A41" t="inlineStr">
        <is>
          <t>카드수수료</t>
        </is>
      </c>
      <c r="B41" s="26">
        <f>E21</f>
        <v/>
      </c>
    </row>
    <row r="42">
      <c r="A42" t="inlineStr">
        <is>
          <t>현금수수료</t>
        </is>
      </c>
      <c r="B42" s="26">
        <f>F21</f>
        <v/>
      </c>
    </row>
    <row r="43">
      <c r="A43" t="inlineStr">
        <is>
          <t>임대료</t>
        </is>
      </c>
      <c r="B43" s="26">
        <f>H21</f>
        <v/>
      </c>
    </row>
    <row r="44">
      <c r="A44" t="inlineStr">
        <is>
          <t>관리비</t>
        </is>
      </c>
      <c r="B44" s="26">
        <f>I21</f>
        <v/>
      </c>
    </row>
    <row r="45">
      <c r="A45" t="inlineStr">
        <is>
          <t>공과금</t>
        </is>
      </c>
      <c r="B45" s="26">
        <f>J21</f>
        <v/>
      </c>
    </row>
  </sheetData>
  <mergeCells count="10">
    <mergeCell ref="E4:F4"/>
    <mergeCell ref="A1:M1"/>
    <mergeCell ref="B3:C3"/>
    <mergeCell ref="H4:I4"/>
    <mergeCell ref="A7:M7"/>
    <mergeCell ref="K4:L4"/>
    <mergeCell ref="B4:C4"/>
    <mergeCell ref="E3:F3"/>
    <mergeCell ref="K3:L3"/>
    <mergeCell ref="H3:I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11" customWidth="1" min="3" max="3"/>
    <col width="11" customWidth="1" min="4" max="4"/>
    <col width="15" customWidth="1" min="5" max="5"/>
    <col width="15" customWidth="1" min="6" max="6"/>
    <col width="15" customWidth="1" min="7" max="7"/>
    <col width="14" customWidth="1" min="8" max="8"/>
    <col width="14" customWidth="1" min="9" max="9"/>
    <col width="14" customWidth="1" min="10" max="10"/>
    <col width="13" customWidth="1" min="11" max="11"/>
    <col width="14" customWidth="1" min="12" max="12"/>
    <col width="13" customWidth="1" min="13" max="13"/>
    <col width="13" customWidth="1" min="14" max="14"/>
    <col width="14" customWidth="1" min="15" max="15"/>
    <col width="13" customWidth="1" min="16" max="16"/>
    <col width="16" customWidth="1" min="17" max="17"/>
    <col width="16" customWidth="1" min="18" max="18"/>
    <col width="14" customWidth="1" min="19" max="19"/>
    <col width="18" customWidth="1" min="20" max="20"/>
  </cols>
  <sheetData>
    <row r="1">
      <c r="A1" s="1" t="inlineStr">
        <is>
          <t>미식가의 주방 — 주간 정산 요약 (2026년)</t>
        </is>
      </c>
    </row>
    <row r="2">
      <c r="A2" s="2" t="inlineStr">
        <is>
          <t>⬜ 전체 자동 — 시트1 입력 → 여기서 정산 계산   |   3주차=공과금 / 4주차=임대료+관리비</t>
        </is>
      </c>
    </row>
    <row r="3">
      <c r="A3" s="19" t="inlineStr">
        <is>
          <t>월</t>
        </is>
      </c>
      <c r="B3" s="19" t="inlineStr">
        <is>
          <t>주</t>
        </is>
      </c>
      <c r="C3" s="19" t="inlineStr">
        <is>
          <t>시작일</t>
        </is>
      </c>
      <c r="D3" s="19" t="inlineStr">
        <is>
          <t>종료일</t>
        </is>
      </c>
      <c r="E3" s="19" t="inlineStr">
        <is>
          <t>카드매출</t>
        </is>
      </c>
      <c r="F3" s="19" t="inlineStr">
        <is>
          <t>현금매출</t>
        </is>
      </c>
      <c r="G3" s="19" t="inlineStr">
        <is>
          <t>총매출</t>
        </is>
      </c>
      <c r="H3" s="19" t="inlineStr">
        <is>
          <t>카드수수료
(15%)</t>
        </is>
      </c>
      <c r="I3" s="19" t="inlineStr">
        <is>
          <t>현금수수료
(13%)</t>
        </is>
      </c>
      <c r="J3" s="19" t="inlineStr">
        <is>
          <t>수수료합계</t>
        </is>
      </c>
      <c r="K3" s="19" t="inlineStr">
        <is>
          <t>수수료
VAT</t>
        </is>
      </c>
      <c r="L3" s="19" t="inlineStr">
        <is>
          <t>임대료</t>
        </is>
      </c>
      <c r="M3" s="19" t="inlineStr">
        <is>
          <t>임대료
VAT</t>
        </is>
      </c>
      <c r="N3" s="19" t="inlineStr">
        <is>
          <t>관리비+
고정비</t>
        </is>
      </c>
      <c r="O3" s="19" t="inlineStr">
        <is>
          <t>공과금
(95%)</t>
        </is>
      </c>
      <c r="P3" s="19" t="inlineStr">
        <is>
          <t>기타비용</t>
        </is>
      </c>
      <c r="Q3" s="19" t="inlineStr">
        <is>
          <t>총 차감액</t>
        </is>
      </c>
      <c r="R3" s="19" t="inlineStr">
        <is>
          <t>미식가
카드지급</t>
        </is>
      </c>
      <c r="S3" s="19" t="inlineStr">
        <is>
          <t>현금
수령액</t>
        </is>
      </c>
      <c r="T3" s="19" t="inlineStr">
        <is>
          <t>비고</t>
        </is>
      </c>
    </row>
    <row r="4">
      <c r="A4" s="27">
        <f>'주간 입력'!C5</f>
        <v/>
      </c>
      <c r="B4" s="27">
        <f>'주간 입력'!C6</f>
        <v/>
      </c>
      <c r="C4" s="28">
        <f>'주간 입력'!C7</f>
        <v/>
      </c>
      <c r="D4" s="28">
        <f>'주간 입력'!C8</f>
        <v/>
      </c>
      <c r="E4" s="29">
        <f>'주간 입력'!C10</f>
        <v/>
      </c>
      <c r="F4" s="29">
        <f>'주간 입력'!C11</f>
        <v/>
      </c>
      <c r="G4" s="29">
        <f>IF(E4="","",E4+F4)</f>
        <v/>
      </c>
      <c r="H4" s="29">
        <f>IF(E4="","",E4*0.15)</f>
        <v/>
      </c>
      <c r="I4" s="29">
        <f>IF(E4="","",IF(F4="",0,F4*0.13))</f>
        <v/>
      </c>
      <c r="J4" s="29">
        <f>IF(E4="","",H4+I4)</f>
        <v/>
      </c>
      <c r="K4" s="29">
        <f>IF(E4="","",J4*0.1)</f>
        <v/>
      </c>
      <c r="L4" s="29">
        <f>IF('주간 입력'!C6=4,3000000,0)</f>
        <v/>
      </c>
      <c r="M4" s="29">
        <f>IF(L4=0,0,L4*0.1)</f>
        <v/>
      </c>
      <c r="N4" s="29">
        <f>IF('주간 입력'!C6=4,55000+15900+50000,0)</f>
        <v/>
      </c>
      <c r="O4" s="29">
        <f>(IF('주간 입력'!C13="",0,'주간 입력'!C13)+IF('주간 입력'!C14="",0,'주간 입력'!C14)+IF('주간 입력'!C15="",0,'주간 입력'!C15))*0.95</f>
        <v/>
      </c>
      <c r="P4" s="29">
        <f>IF('주간 입력'!C17="",0,'주간 입력'!C17)+IF('주간 입력'!C18="",0,'주간 입력'!C18*0.05)+IF('주간 입력'!C19="",0,'주간 입력'!C19)</f>
        <v/>
      </c>
      <c r="Q4" s="29">
        <f>IF(E4="","",J4+K4+L4+M4+N4+O4+P4)</f>
        <v/>
      </c>
      <c r="R4" s="29">
        <f>IF(E4="","",E4-Q4)</f>
        <v/>
      </c>
      <c r="S4" s="29">
        <f>IF(E4="","",F4-I4-I4*0.1)</f>
        <v/>
      </c>
      <c r="T4" s="28">
        <f>'주간 입력'!C20</f>
        <v/>
      </c>
    </row>
    <row r="5">
      <c r="A5" s="27">
        <f>'주간 입력'!C23</f>
        <v/>
      </c>
      <c r="B5" s="27">
        <f>'주간 입력'!C24</f>
        <v/>
      </c>
      <c r="C5" s="28">
        <f>'주간 입력'!C25</f>
        <v/>
      </c>
      <c r="D5" s="28">
        <f>'주간 입력'!C26</f>
        <v/>
      </c>
      <c r="E5" s="29">
        <f>'주간 입력'!C28</f>
        <v/>
      </c>
      <c r="F5" s="29">
        <f>'주간 입력'!C29</f>
        <v/>
      </c>
      <c r="G5" s="29">
        <f>IF(E5="","",E5+F5)</f>
        <v/>
      </c>
      <c r="H5" s="29">
        <f>IF(E5="","",E5*0.15)</f>
        <v/>
      </c>
      <c r="I5" s="29">
        <f>IF(E5="","",IF(F5="",0,F5*0.13))</f>
        <v/>
      </c>
      <c r="J5" s="29">
        <f>IF(E5="","",H5+I5)</f>
        <v/>
      </c>
      <c r="K5" s="29">
        <f>IF(E5="","",J5*0.1)</f>
        <v/>
      </c>
      <c r="L5" s="29">
        <f>IF('주간 입력'!C24=4,3000000,0)</f>
        <v/>
      </c>
      <c r="M5" s="29">
        <f>IF(L5=0,0,L5*0.1)</f>
        <v/>
      </c>
      <c r="N5" s="29">
        <f>IF('주간 입력'!C24=4,55000+15900+50000,0)</f>
        <v/>
      </c>
      <c r="O5" s="29">
        <f>(IF('주간 입력'!C31="",0,'주간 입력'!C31)+IF('주간 입력'!C32="",0,'주간 입력'!C32)+IF('주간 입력'!C33="",0,'주간 입력'!C33))*0.95</f>
        <v/>
      </c>
      <c r="P5" s="29">
        <f>IF('주간 입력'!C35="",0,'주간 입력'!C35)+IF('주간 입력'!C36="",0,'주간 입력'!C36*0.05)+IF('주간 입력'!C37="",0,'주간 입력'!C37)</f>
        <v/>
      </c>
      <c r="Q5" s="29">
        <f>IF(E5="","",J5+K5+L5+M5+N5+O5+P5)</f>
        <v/>
      </c>
      <c r="R5" s="29">
        <f>IF(E5="","",E5-Q5)</f>
        <v/>
      </c>
      <c r="S5" s="29">
        <f>IF(E5="","",F5-I5-I5*0.1)</f>
        <v/>
      </c>
      <c r="T5" s="28">
        <f>'주간 입력'!C38</f>
        <v/>
      </c>
    </row>
    <row r="6">
      <c r="A6" s="27">
        <f>'주간 입력'!C41</f>
        <v/>
      </c>
      <c r="B6" s="27">
        <f>'주간 입력'!C42</f>
        <v/>
      </c>
      <c r="C6" s="28">
        <f>'주간 입력'!C43</f>
        <v/>
      </c>
      <c r="D6" s="28">
        <f>'주간 입력'!C44</f>
        <v/>
      </c>
      <c r="E6" s="29">
        <f>'주간 입력'!C46</f>
        <v/>
      </c>
      <c r="F6" s="29">
        <f>'주간 입력'!C47</f>
        <v/>
      </c>
      <c r="G6" s="29">
        <f>IF(E6="","",E6+F6)</f>
        <v/>
      </c>
      <c r="H6" s="29">
        <f>IF(E6="","",E6*0.15)</f>
        <v/>
      </c>
      <c r="I6" s="29">
        <f>IF(E6="","",IF(F6="",0,F6*0.13))</f>
        <v/>
      </c>
      <c r="J6" s="29">
        <f>IF(E6="","",H6+I6)</f>
        <v/>
      </c>
      <c r="K6" s="29">
        <f>IF(E6="","",J6*0.1)</f>
        <v/>
      </c>
      <c r="L6" s="29">
        <f>IF('주간 입력'!C42=4,3000000,0)</f>
        <v/>
      </c>
      <c r="M6" s="29">
        <f>IF(L6=0,0,L6*0.1)</f>
        <v/>
      </c>
      <c r="N6" s="29">
        <f>IF('주간 입력'!C42=4,55000+15900+50000,0)</f>
        <v/>
      </c>
      <c r="O6" s="29">
        <f>(IF('주간 입력'!C49="",0,'주간 입력'!C49)+IF('주간 입력'!C50="",0,'주간 입력'!C50)+IF('주간 입력'!C51="",0,'주간 입력'!C51))*0.95</f>
        <v/>
      </c>
      <c r="P6" s="29">
        <f>IF('주간 입력'!C53="",0,'주간 입력'!C53)+IF('주간 입력'!C54="",0,'주간 입력'!C54*0.05)+IF('주간 입력'!C55="",0,'주간 입력'!C55)</f>
        <v/>
      </c>
      <c r="Q6" s="29">
        <f>IF(E6="","",J6+K6+L6+M6+N6+O6+P6)</f>
        <v/>
      </c>
      <c r="R6" s="29">
        <f>IF(E6="","",E6-Q6)</f>
        <v/>
      </c>
      <c r="S6" s="29">
        <f>IF(E6="","",F6-I6-I6*0.1)</f>
        <v/>
      </c>
      <c r="T6" s="28">
        <f>'주간 입력'!C56</f>
        <v/>
      </c>
    </row>
    <row r="7">
      <c r="A7" s="27">
        <f>'주간 입력'!C59</f>
        <v/>
      </c>
      <c r="B7" s="27">
        <f>'주간 입력'!C60</f>
        <v/>
      </c>
      <c r="C7" s="28">
        <f>'주간 입력'!C61</f>
        <v/>
      </c>
      <c r="D7" s="28">
        <f>'주간 입력'!C62</f>
        <v/>
      </c>
      <c r="E7" s="29">
        <f>'주간 입력'!C64</f>
        <v/>
      </c>
      <c r="F7" s="29">
        <f>'주간 입력'!C65</f>
        <v/>
      </c>
      <c r="G7" s="29">
        <f>IF(E7="","",E7+F7)</f>
        <v/>
      </c>
      <c r="H7" s="29">
        <f>IF(E7="","",E7*0.15)</f>
        <v/>
      </c>
      <c r="I7" s="29">
        <f>IF(E7="","",IF(F7="",0,F7*0.13))</f>
        <v/>
      </c>
      <c r="J7" s="29">
        <f>IF(E7="","",H7+I7)</f>
        <v/>
      </c>
      <c r="K7" s="29">
        <f>IF(E7="","",J7*0.1)</f>
        <v/>
      </c>
      <c r="L7" s="29">
        <f>IF('주간 입력'!C60=4,3000000,0)</f>
        <v/>
      </c>
      <c r="M7" s="29">
        <f>IF(L7=0,0,L7*0.1)</f>
        <v/>
      </c>
      <c r="N7" s="29">
        <f>IF('주간 입력'!C60=4,55000+15900+50000,0)</f>
        <v/>
      </c>
      <c r="O7" s="29">
        <f>(IF('주간 입력'!C67="",0,'주간 입력'!C67)+IF('주간 입력'!C68="",0,'주간 입력'!C68)+IF('주간 입력'!C69="",0,'주간 입력'!C69))*0.95</f>
        <v/>
      </c>
      <c r="P7" s="29">
        <f>IF('주간 입력'!C71="",0,'주간 입력'!C71)+IF('주간 입력'!C72="",0,'주간 입력'!C72*0.05)+IF('주간 입력'!C73="",0,'주간 입력'!C73)</f>
        <v/>
      </c>
      <c r="Q7" s="29">
        <f>IF(E7="","",J7+K7+L7+M7+N7+O7+P7)</f>
        <v/>
      </c>
      <c r="R7" s="29">
        <f>IF(E7="","",E7-Q7)</f>
        <v/>
      </c>
      <c r="S7" s="29">
        <f>IF(E7="","",F7-I7-I7*0.1)</f>
        <v/>
      </c>
      <c r="T7" s="28">
        <f>'주간 입력'!C74</f>
        <v/>
      </c>
    </row>
    <row r="8">
      <c r="A8" s="27">
        <f>'주간 입력'!C77</f>
        <v/>
      </c>
      <c r="B8" s="27">
        <f>'주간 입력'!C78</f>
        <v/>
      </c>
      <c r="C8" s="28">
        <f>'주간 입력'!C79</f>
        <v/>
      </c>
      <c r="D8" s="28">
        <f>'주간 입력'!C80</f>
        <v/>
      </c>
      <c r="E8" s="29">
        <f>'주간 입력'!C82</f>
        <v/>
      </c>
      <c r="F8" s="29">
        <f>'주간 입력'!C83</f>
        <v/>
      </c>
      <c r="G8" s="29">
        <f>IF(E8="","",E8+F8)</f>
        <v/>
      </c>
      <c r="H8" s="29">
        <f>IF(E8="","",E8*0.15)</f>
        <v/>
      </c>
      <c r="I8" s="29">
        <f>IF(E8="","",IF(F8="",0,F8*0.13))</f>
        <v/>
      </c>
      <c r="J8" s="29">
        <f>IF(E8="","",H8+I8)</f>
        <v/>
      </c>
      <c r="K8" s="29">
        <f>IF(E8="","",J8*0.1)</f>
        <v/>
      </c>
      <c r="L8" s="29">
        <f>IF('주간 입력'!C78=4,3000000,0)</f>
        <v/>
      </c>
      <c r="M8" s="29">
        <f>IF(L8=0,0,L8*0.1)</f>
        <v/>
      </c>
      <c r="N8" s="29">
        <f>IF('주간 입력'!C78=4,55000+15900+50000,0)</f>
        <v/>
      </c>
      <c r="O8" s="29">
        <f>(IF('주간 입력'!C85="",0,'주간 입력'!C85)+IF('주간 입력'!C86="",0,'주간 입력'!C86)+IF('주간 입력'!C87="",0,'주간 입력'!C87))*0.95</f>
        <v/>
      </c>
      <c r="P8" s="29">
        <f>IF('주간 입력'!C89="",0,'주간 입력'!C89)+IF('주간 입력'!C90="",0,'주간 입력'!C90*0.05)+IF('주간 입력'!C91="",0,'주간 입력'!C91)</f>
        <v/>
      </c>
      <c r="Q8" s="29">
        <f>IF(E8="","",J8+K8+L8+M8+N8+O8+P8)</f>
        <v/>
      </c>
      <c r="R8" s="29">
        <f>IF(E8="","",E8-Q8)</f>
        <v/>
      </c>
      <c r="S8" s="29">
        <f>IF(E8="","",F8-I8-I8*0.1)</f>
        <v/>
      </c>
      <c r="T8" s="28">
        <f>'주간 입력'!C92</f>
        <v/>
      </c>
    </row>
    <row r="9">
      <c r="A9" s="30" t="inlineStr">
        <is>
          <t>1월</t>
        </is>
      </c>
      <c r="B9" s="30" t="inlineStr">
        <is>
          <t>소계</t>
        </is>
      </c>
      <c r="C9" s="31" t="n"/>
      <c r="D9" s="31" t="n"/>
      <c r="E9" s="32">
        <f>SUM(E4:E8)</f>
        <v/>
      </c>
      <c r="F9" s="32">
        <f>SUM(F4:F8)</f>
        <v/>
      </c>
      <c r="G9" s="32">
        <f>SUM(G4:G8)</f>
        <v/>
      </c>
      <c r="H9" s="32">
        <f>SUM(H4:H8)</f>
        <v/>
      </c>
      <c r="I9" s="32">
        <f>SUM(I4:I8)</f>
        <v/>
      </c>
      <c r="J9" s="32">
        <f>SUM(J4:J8)</f>
        <v/>
      </c>
      <c r="K9" s="32">
        <f>SUM(K4:K8)</f>
        <v/>
      </c>
      <c r="L9" s="32">
        <f>SUM(L4:L8)</f>
        <v/>
      </c>
      <c r="M9" s="32">
        <f>SUM(M4:M8)</f>
        <v/>
      </c>
      <c r="N9" s="32">
        <f>SUM(N4:N8)</f>
        <v/>
      </c>
      <c r="O9" s="32">
        <f>SUM(O4:O8)</f>
        <v/>
      </c>
      <c r="P9" s="32">
        <f>SUM(P4:P8)</f>
        <v/>
      </c>
      <c r="Q9" s="32">
        <f>SUM(Q4:Q8)</f>
        <v/>
      </c>
      <c r="R9" s="32">
        <f>SUM(R4:R8)</f>
        <v/>
      </c>
      <c r="S9" s="32">
        <f>SUM(S4:S8)</f>
        <v/>
      </c>
      <c r="T9" s="31" t="n"/>
    </row>
    <row r="10">
      <c r="A10" s="27">
        <f>'주간 입력'!C95</f>
        <v/>
      </c>
      <c r="B10" s="27">
        <f>'주간 입력'!C96</f>
        <v/>
      </c>
      <c r="C10" s="28">
        <f>'주간 입력'!C97</f>
        <v/>
      </c>
      <c r="D10" s="28">
        <f>'주간 입력'!C98</f>
        <v/>
      </c>
      <c r="E10" s="29">
        <f>'주간 입력'!C100</f>
        <v/>
      </c>
      <c r="F10" s="29">
        <f>'주간 입력'!C101</f>
        <v/>
      </c>
      <c r="G10" s="29">
        <f>IF(E10="","",E10+F10)</f>
        <v/>
      </c>
      <c r="H10" s="29">
        <f>IF(E10="","",E10*0.15)</f>
        <v/>
      </c>
      <c r="I10" s="29">
        <f>IF(E10="","",IF(F10="",0,F10*0.13))</f>
        <v/>
      </c>
      <c r="J10" s="29">
        <f>IF(E10="","",H10+I10)</f>
        <v/>
      </c>
      <c r="K10" s="29">
        <f>IF(E10="","",J10*0.1)</f>
        <v/>
      </c>
      <c r="L10" s="29">
        <f>IF('주간 입력'!C96=4,3000000,0)</f>
        <v/>
      </c>
      <c r="M10" s="29">
        <f>IF(L10=0,0,L10*0.1)</f>
        <v/>
      </c>
      <c r="N10" s="29">
        <f>IF('주간 입력'!C96=4,55000+15900+50000,0)</f>
        <v/>
      </c>
      <c r="O10" s="29">
        <f>(IF('주간 입력'!C103="",0,'주간 입력'!C103)+IF('주간 입력'!C104="",0,'주간 입력'!C104)+IF('주간 입력'!C105="",0,'주간 입력'!C105))*0.95</f>
        <v/>
      </c>
      <c r="P10" s="29">
        <f>IF('주간 입력'!C107="",0,'주간 입력'!C107)+IF('주간 입력'!C108="",0,'주간 입력'!C108*0.05)+IF('주간 입력'!C109="",0,'주간 입력'!C109)</f>
        <v/>
      </c>
      <c r="Q10" s="29">
        <f>IF(E10="","",J10+K10+L10+M10+N10+O10+P10)</f>
        <v/>
      </c>
      <c r="R10" s="29">
        <f>IF(E10="","",E10-Q10)</f>
        <v/>
      </c>
      <c r="S10" s="29">
        <f>IF(E10="","",F10-I10-I10*0.1)</f>
        <v/>
      </c>
      <c r="T10" s="28">
        <f>'주간 입력'!C110</f>
        <v/>
      </c>
    </row>
    <row r="11">
      <c r="A11" s="27">
        <f>'주간 입력'!C113</f>
        <v/>
      </c>
      <c r="B11" s="27">
        <f>'주간 입력'!C114</f>
        <v/>
      </c>
      <c r="C11" s="28">
        <f>'주간 입력'!C115</f>
        <v/>
      </c>
      <c r="D11" s="28">
        <f>'주간 입력'!C116</f>
        <v/>
      </c>
      <c r="E11" s="29">
        <f>'주간 입력'!C118</f>
        <v/>
      </c>
      <c r="F11" s="29">
        <f>'주간 입력'!C119</f>
        <v/>
      </c>
      <c r="G11" s="29">
        <f>IF(E11="","",E11+F11)</f>
        <v/>
      </c>
      <c r="H11" s="29">
        <f>IF(E11="","",E11*0.15)</f>
        <v/>
      </c>
      <c r="I11" s="29">
        <f>IF(E11="","",IF(F11="",0,F11*0.13))</f>
        <v/>
      </c>
      <c r="J11" s="29">
        <f>IF(E11="","",H11+I11)</f>
        <v/>
      </c>
      <c r="K11" s="29">
        <f>IF(E11="","",J11*0.1)</f>
        <v/>
      </c>
      <c r="L11" s="29">
        <f>IF('주간 입력'!C114=4,3000000,0)</f>
        <v/>
      </c>
      <c r="M11" s="29">
        <f>IF(L11=0,0,L11*0.1)</f>
        <v/>
      </c>
      <c r="N11" s="29">
        <f>IF('주간 입력'!C114=4,55000+15900+50000,0)</f>
        <v/>
      </c>
      <c r="O11" s="29">
        <f>(IF('주간 입력'!C121="",0,'주간 입력'!C121)+IF('주간 입력'!C122="",0,'주간 입력'!C122)+IF('주간 입력'!C123="",0,'주간 입력'!C123))*0.95</f>
        <v/>
      </c>
      <c r="P11" s="29">
        <f>IF('주간 입력'!C125="",0,'주간 입력'!C125)+IF('주간 입력'!C126="",0,'주간 입력'!C126*0.05)+IF('주간 입력'!C127="",0,'주간 입력'!C127)</f>
        <v/>
      </c>
      <c r="Q11" s="29">
        <f>IF(E11="","",J11+K11+L11+M11+N11+O11+P11)</f>
        <v/>
      </c>
      <c r="R11" s="29">
        <f>IF(E11="","",E11-Q11)</f>
        <v/>
      </c>
      <c r="S11" s="29">
        <f>IF(E11="","",F11-I11-I11*0.1)</f>
        <v/>
      </c>
      <c r="T11" s="28">
        <f>'주간 입력'!C128</f>
        <v/>
      </c>
    </row>
    <row r="12">
      <c r="A12" s="27">
        <f>'주간 입력'!C131</f>
        <v/>
      </c>
      <c r="B12" s="27">
        <f>'주간 입력'!C132</f>
        <v/>
      </c>
      <c r="C12" s="28">
        <f>'주간 입력'!C133</f>
        <v/>
      </c>
      <c r="D12" s="28">
        <f>'주간 입력'!C134</f>
        <v/>
      </c>
      <c r="E12" s="29">
        <f>'주간 입력'!C136</f>
        <v/>
      </c>
      <c r="F12" s="29">
        <f>'주간 입력'!C137</f>
        <v/>
      </c>
      <c r="G12" s="29">
        <f>IF(E12="","",E12+F12)</f>
        <v/>
      </c>
      <c r="H12" s="29">
        <f>IF(E12="","",E12*0.15)</f>
        <v/>
      </c>
      <c r="I12" s="29">
        <f>IF(E12="","",IF(F12="",0,F12*0.13))</f>
        <v/>
      </c>
      <c r="J12" s="29">
        <f>IF(E12="","",H12+I12)</f>
        <v/>
      </c>
      <c r="K12" s="29">
        <f>IF(E12="","",J12*0.1)</f>
        <v/>
      </c>
      <c r="L12" s="29">
        <f>IF('주간 입력'!C132=4,3000000,0)</f>
        <v/>
      </c>
      <c r="M12" s="29">
        <f>IF(L12=0,0,L12*0.1)</f>
        <v/>
      </c>
      <c r="N12" s="29">
        <f>IF('주간 입력'!C132=4,55000+15900+50000,0)</f>
        <v/>
      </c>
      <c r="O12" s="29">
        <f>(IF('주간 입력'!C139="",0,'주간 입력'!C139)+IF('주간 입력'!C140="",0,'주간 입력'!C140)+IF('주간 입력'!C141="",0,'주간 입력'!C141))*0.95</f>
        <v/>
      </c>
      <c r="P12" s="29">
        <f>IF('주간 입력'!C143="",0,'주간 입력'!C143)+IF('주간 입력'!C144="",0,'주간 입력'!C144*0.05)+IF('주간 입력'!C145="",0,'주간 입력'!C145)</f>
        <v/>
      </c>
      <c r="Q12" s="29">
        <f>IF(E12="","",J12+K12+L12+M12+N12+O12+P12)</f>
        <v/>
      </c>
      <c r="R12" s="29">
        <f>IF(E12="","",E12-Q12)</f>
        <v/>
      </c>
      <c r="S12" s="29">
        <f>IF(E12="","",F12-I12-I12*0.1)</f>
        <v/>
      </c>
      <c r="T12" s="28">
        <f>'주간 입력'!C146</f>
        <v/>
      </c>
    </row>
    <row r="13">
      <c r="A13" s="27">
        <f>'주간 입력'!C149</f>
        <v/>
      </c>
      <c r="B13" s="27">
        <f>'주간 입력'!C150</f>
        <v/>
      </c>
      <c r="C13" s="28">
        <f>'주간 입력'!C151</f>
        <v/>
      </c>
      <c r="D13" s="28">
        <f>'주간 입력'!C152</f>
        <v/>
      </c>
      <c r="E13" s="29">
        <f>'주간 입력'!C154</f>
        <v/>
      </c>
      <c r="F13" s="29">
        <f>'주간 입력'!C155</f>
        <v/>
      </c>
      <c r="G13" s="29">
        <f>IF(E13="","",E13+F13)</f>
        <v/>
      </c>
      <c r="H13" s="29">
        <f>IF(E13="","",E13*0.15)</f>
        <v/>
      </c>
      <c r="I13" s="29">
        <f>IF(E13="","",IF(F13="",0,F13*0.13))</f>
        <v/>
      </c>
      <c r="J13" s="29">
        <f>IF(E13="","",H13+I13)</f>
        <v/>
      </c>
      <c r="K13" s="29">
        <f>IF(E13="","",J13*0.1)</f>
        <v/>
      </c>
      <c r="L13" s="29">
        <f>IF('주간 입력'!C150=4,3000000,0)</f>
        <v/>
      </c>
      <c r="M13" s="29">
        <f>IF(L13=0,0,L13*0.1)</f>
        <v/>
      </c>
      <c r="N13" s="29">
        <f>IF('주간 입력'!C150=4,55000+15900+50000,0)</f>
        <v/>
      </c>
      <c r="O13" s="29">
        <f>(IF('주간 입력'!C157="",0,'주간 입력'!C157)+IF('주간 입력'!C158="",0,'주간 입력'!C158)+IF('주간 입력'!C159="",0,'주간 입력'!C159))*0.95</f>
        <v/>
      </c>
      <c r="P13" s="29">
        <f>IF('주간 입력'!C161="",0,'주간 입력'!C161)+IF('주간 입력'!C162="",0,'주간 입력'!C162*0.05)+IF('주간 입력'!C163="",0,'주간 입력'!C163)</f>
        <v/>
      </c>
      <c r="Q13" s="29">
        <f>IF(E13="","",J13+K13+L13+M13+N13+O13+P13)</f>
        <v/>
      </c>
      <c r="R13" s="29">
        <f>IF(E13="","",E13-Q13)</f>
        <v/>
      </c>
      <c r="S13" s="29">
        <f>IF(E13="","",F13-I13-I13*0.1)</f>
        <v/>
      </c>
      <c r="T13" s="28">
        <f>'주간 입력'!C164</f>
        <v/>
      </c>
    </row>
    <row r="14">
      <c r="A14" s="27">
        <f>'주간 입력'!C167</f>
        <v/>
      </c>
      <c r="B14" s="27">
        <f>'주간 입력'!C168</f>
        <v/>
      </c>
      <c r="C14" s="28">
        <f>'주간 입력'!C169</f>
        <v/>
      </c>
      <c r="D14" s="28">
        <f>'주간 입력'!C170</f>
        <v/>
      </c>
      <c r="E14" s="29">
        <f>'주간 입력'!C172</f>
        <v/>
      </c>
      <c r="F14" s="29">
        <f>'주간 입력'!C173</f>
        <v/>
      </c>
      <c r="G14" s="29">
        <f>IF(E14="","",E14+F14)</f>
        <v/>
      </c>
      <c r="H14" s="29">
        <f>IF(E14="","",E14*0.15)</f>
        <v/>
      </c>
      <c r="I14" s="29">
        <f>IF(E14="","",IF(F14="",0,F14*0.13))</f>
        <v/>
      </c>
      <c r="J14" s="29">
        <f>IF(E14="","",H14+I14)</f>
        <v/>
      </c>
      <c r="K14" s="29">
        <f>IF(E14="","",J14*0.1)</f>
        <v/>
      </c>
      <c r="L14" s="29">
        <f>IF('주간 입력'!C168=4,3000000,0)</f>
        <v/>
      </c>
      <c r="M14" s="29">
        <f>IF(L14=0,0,L14*0.1)</f>
        <v/>
      </c>
      <c r="N14" s="29">
        <f>IF('주간 입력'!C168=4,55000+15900+50000,0)</f>
        <v/>
      </c>
      <c r="O14" s="29">
        <f>(IF('주간 입력'!C175="",0,'주간 입력'!C175)+IF('주간 입력'!C176="",0,'주간 입력'!C176)+IF('주간 입력'!C177="",0,'주간 입력'!C177))*0.95</f>
        <v/>
      </c>
      <c r="P14" s="29">
        <f>IF('주간 입력'!C179="",0,'주간 입력'!C179)+IF('주간 입력'!C180="",0,'주간 입력'!C180*0.05)+IF('주간 입력'!C181="",0,'주간 입력'!C181)</f>
        <v/>
      </c>
      <c r="Q14" s="29">
        <f>IF(E14="","",J14+K14+L14+M14+N14+O14+P14)</f>
        <v/>
      </c>
      <c r="R14" s="29">
        <f>IF(E14="","",E14-Q14)</f>
        <v/>
      </c>
      <c r="S14" s="29">
        <f>IF(E14="","",F14-I14-I14*0.1)</f>
        <v/>
      </c>
      <c r="T14" s="28">
        <f>'주간 입력'!C182</f>
        <v/>
      </c>
    </row>
    <row r="15">
      <c r="A15" s="30" t="inlineStr">
        <is>
          <t>2월</t>
        </is>
      </c>
      <c r="B15" s="30" t="inlineStr">
        <is>
          <t>소계</t>
        </is>
      </c>
      <c r="C15" s="31" t="n"/>
      <c r="D15" s="31" t="n"/>
      <c r="E15" s="32">
        <f>SUM(E10:E14)</f>
        <v/>
      </c>
      <c r="F15" s="32">
        <f>SUM(F10:F14)</f>
        <v/>
      </c>
      <c r="G15" s="32">
        <f>SUM(G10:G14)</f>
        <v/>
      </c>
      <c r="H15" s="32">
        <f>SUM(H10:H14)</f>
        <v/>
      </c>
      <c r="I15" s="32">
        <f>SUM(I10:I14)</f>
        <v/>
      </c>
      <c r="J15" s="32">
        <f>SUM(J10:J14)</f>
        <v/>
      </c>
      <c r="K15" s="32">
        <f>SUM(K10:K14)</f>
        <v/>
      </c>
      <c r="L15" s="32">
        <f>SUM(L10:L14)</f>
        <v/>
      </c>
      <c r="M15" s="32">
        <f>SUM(M10:M14)</f>
        <v/>
      </c>
      <c r="N15" s="32">
        <f>SUM(N10:N14)</f>
        <v/>
      </c>
      <c r="O15" s="32">
        <f>SUM(O10:O14)</f>
        <v/>
      </c>
      <c r="P15" s="32">
        <f>SUM(P10:P14)</f>
        <v/>
      </c>
      <c r="Q15" s="32">
        <f>SUM(Q10:Q14)</f>
        <v/>
      </c>
      <c r="R15" s="32">
        <f>SUM(R10:R14)</f>
        <v/>
      </c>
      <c r="S15" s="32">
        <f>SUM(S10:S14)</f>
        <v/>
      </c>
      <c r="T15" s="31" t="n"/>
    </row>
    <row r="16">
      <c r="A16" s="27">
        <f>'주간 입력'!C185</f>
        <v/>
      </c>
      <c r="B16" s="27">
        <f>'주간 입력'!C186</f>
        <v/>
      </c>
      <c r="C16" s="28">
        <f>'주간 입력'!C187</f>
        <v/>
      </c>
      <c r="D16" s="28">
        <f>'주간 입력'!C188</f>
        <v/>
      </c>
      <c r="E16" s="29">
        <f>'주간 입력'!C190</f>
        <v/>
      </c>
      <c r="F16" s="29">
        <f>'주간 입력'!C191</f>
        <v/>
      </c>
      <c r="G16" s="29">
        <f>IF(E16="","",E16+F16)</f>
        <v/>
      </c>
      <c r="H16" s="29">
        <f>IF(E16="","",E16*0.15)</f>
        <v/>
      </c>
      <c r="I16" s="29">
        <f>IF(E16="","",IF(F16="",0,F16*0.13))</f>
        <v/>
      </c>
      <c r="J16" s="29">
        <f>IF(E16="","",H16+I16)</f>
        <v/>
      </c>
      <c r="K16" s="29">
        <f>IF(E16="","",J16*0.1)</f>
        <v/>
      </c>
      <c r="L16" s="29">
        <f>IF('주간 입력'!C186=4,3000000,0)</f>
        <v/>
      </c>
      <c r="M16" s="29">
        <f>IF(L16=0,0,L16*0.1)</f>
        <v/>
      </c>
      <c r="N16" s="29">
        <f>IF('주간 입력'!C186=4,55000+15900+50000,0)</f>
        <v/>
      </c>
      <c r="O16" s="29">
        <f>(IF('주간 입력'!C193="",0,'주간 입력'!C193)+IF('주간 입력'!C194="",0,'주간 입력'!C194)+IF('주간 입력'!C195="",0,'주간 입력'!C195))*0.95</f>
        <v/>
      </c>
      <c r="P16" s="29">
        <f>IF('주간 입력'!C197="",0,'주간 입력'!C197)+IF('주간 입력'!C198="",0,'주간 입력'!C198*0.05)+IF('주간 입력'!C199="",0,'주간 입력'!C199)</f>
        <v/>
      </c>
      <c r="Q16" s="29">
        <f>IF(E16="","",J16+K16+L16+M16+N16+O16+P16)</f>
        <v/>
      </c>
      <c r="R16" s="29">
        <f>IF(E16="","",E16-Q16)</f>
        <v/>
      </c>
      <c r="S16" s="29">
        <f>IF(E16="","",F16-I16-I16*0.1)</f>
        <v/>
      </c>
      <c r="T16" s="28">
        <f>'주간 입력'!C200</f>
        <v/>
      </c>
    </row>
    <row r="17">
      <c r="A17" s="27">
        <f>'주간 입력'!C203</f>
        <v/>
      </c>
      <c r="B17" s="27">
        <f>'주간 입력'!C204</f>
        <v/>
      </c>
      <c r="C17" s="28">
        <f>'주간 입력'!C205</f>
        <v/>
      </c>
      <c r="D17" s="28">
        <f>'주간 입력'!C206</f>
        <v/>
      </c>
      <c r="E17" s="29">
        <f>'주간 입력'!C208</f>
        <v/>
      </c>
      <c r="F17" s="29">
        <f>'주간 입력'!C209</f>
        <v/>
      </c>
      <c r="G17" s="29">
        <f>IF(E17="","",E17+F17)</f>
        <v/>
      </c>
      <c r="H17" s="29">
        <f>IF(E17="","",E17*0.15)</f>
        <v/>
      </c>
      <c r="I17" s="29">
        <f>IF(E17="","",IF(F17="",0,F17*0.13))</f>
        <v/>
      </c>
      <c r="J17" s="29">
        <f>IF(E17="","",H17+I17)</f>
        <v/>
      </c>
      <c r="K17" s="29">
        <f>IF(E17="","",J17*0.1)</f>
        <v/>
      </c>
      <c r="L17" s="29">
        <f>IF('주간 입력'!C204=4,3000000,0)</f>
        <v/>
      </c>
      <c r="M17" s="29">
        <f>IF(L17=0,0,L17*0.1)</f>
        <v/>
      </c>
      <c r="N17" s="29">
        <f>IF('주간 입력'!C204=4,55000+15900+50000,0)</f>
        <v/>
      </c>
      <c r="O17" s="29">
        <f>(IF('주간 입력'!C211="",0,'주간 입력'!C211)+IF('주간 입력'!C212="",0,'주간 입력'!C212)+IF('주간 입력'!C213="",0,'주간 입력'!C213))*0.95</f>
        <v/>
      </c>
      <c r="P17" s="29">
        <f>IF('주간 입력'!C215="",0,'주간 입력'!C215)+IF('주간 입력'!C216="",0,'주간 입력'!C216*0.05)+IF('주간 입력'!C217="",0,'주간 입력'!C217)</f>
        <v/>
      </c>
      <c r="Q17" s="29">
        <f>IF(E17="","",J17+K17+L17+M17+N17+O17+P17)</f>
        <v/>
      </c>
      <c r="R17" s="29">
        <f>IF(E17="","",E17-Q17)</f>
        <v/>
      </c>
      <c r="S17" s="29">
        <f>IF(E17="","",F17-I17-I17*0.1)</f>
        <v/>
      </c>
      <c r="T17" s="28">
        <f>'주간 입력'!C218</f>
        <v/>
      </c>
    </row>
    <row r="18">
      <c r="A18" s="27">
        <f>'주간 입력'!C221</f>
        <v/>
      </c>
      <c r="B18" s="27">
        <f>'주간 입력'!C222</f>
        <v/>
      </c>
      <c r="C18" s="28">
        <f>'주간 입력'!C223</f>
        <v/>
      </c>
      <c r="D18" s="28">
        <f>'주간 입력'!C224</f>
        <v/>
      </c>
      <c r="E18" s="29">
        <f>'주간 입력'!C226</f>
        <v/>
      </c>
      <c r="F18" s="29">
        <f>'주간 입력'!C227</f>
        <v/>
      </c>
      <c r="G18" s="29">
        <f>IF(E18="","",E18+F18)</f>
        <v/>
      </c>
      <c r="H18" s="29">
        <f>IF(E18="","",E18*0.15)</f>
        <v/>
      </c>
      <c r="I18" s="29">
        <f>IF(E18="","",IF(F18="",0,F18*0.13))</f>
        <v/>
      </c>
      <c r="J18" s="29">
        <f>IF(E18="","",H18+I18)</f>
        <v/>
      </c>
      <c r="K18" s="29">
        <f>IF(E18="","",J18*0.1)</f>
        <v/>
      </c>
      <c r="L18" s="29">
        <f>IF('주간 입력'!C222=4,3000000,0)</f>
        <v/>
      </c>
      <c r="M18" s="29">
        <f>IF(L18=0,0,L18*0.1)</f>
        <v/>
      </c>
      <c r="N18" s="29">
        <f>IF('주간 입력'!C222=4,55000+15900+50000,0)</f>
        <v/>
      </c>
      <c r="O18" s="29">
        <f>(IF('주간 입력'!C229="",0,'주간 입력'!C229)+IF('주간 입력'!C230="",0,'주간 입력'!C230)+IF('주간 입력'!C231="",0,'주간 입력'!C231))*0.95</f>
        <v/>
      </c>
      <c r="P18" s="29">
        <f>IF('주간 입력'!C233="",0,'주간 입력'!C233)+IF('주간 입력'!C234="",0,'주간 입력'!C234*0.05)+IF('주간 입력'!C235="",0,'주간 입력'!C235)</f>
        <v/>
      </c>
      <c r="Q18" s="29">
        <f>IF(E18="","",J18+K18+L18+M18+N18+O18+P18)</f>
        <v/>
      </c>
      <c r="R18" s="29">
        <f>IF(E18="","",E18-Q18)</f>
        <v/>
      </c>
      <c r="S18" s="29">
        <f>IF(E18="","",F18-I18-I18*0.1)</f>
        <v/>
      </c>
      <c r="T18" s="28">
        <f>'주간 입력'!C236</f>
        <v/>
      </c>
    </row>
    <row r="19">
      <c r="A19" s="27">
        <f>'주간 입력'!C239</f>
        <v/>
      </c>
      <c r="B19" s="27">
        <f>'주간 입력'!C240</f>
        <v/>
      </c>
      <c r="C19" s="28">
        <f>'주간 입력'!C241</f>
        <v/>
      </c>
      <c r="D19" s="28">
        <f>'주간 입력'!C242</f>
        <v/>
      </c>
      <c r="E19" s="29">
        <f>'주간 입력'!C244</f>
        <v/>
      </c>
      <c r="F19" s="29">
        <f>'주간 입력'!C245</f>
        <v/>
      </c>
      <c r="G19" s="29">
        <f>IF(E19="","",E19+F19)</f>
        <v/>
      </c>
      <c r="H19" s="29">
        <f>IF(E19="","",E19*0.15)</f>
        <v/>
      </c>
      <c r="I19" s="29">
        <f>IF(E19="","",IF(F19="",0,F19*0.13))</f>
        <v/>
      </c>
      <c r="J19" s="29">
        <f>IF(E19="","",H19+I19)</f>
        <v/>
      </c>
      <c r="K19" s="29">
        <f>IF(E19="","",J19*0.1)</f>
        <v/>
      </c>
      <c r="L19" s="29">
        <f>IF('주간 입력'!C240=4,3000000,0)</f>
        <v/>
      </c>
      <c r="M19" s="29">
        <f>IF(L19=0,0,L19*0.1)</f>
        <v/>
      </c>
      <c r="N19" s="29">
        <f>IF('주간 입력'!C240=4,55000+15900+50000,0)</f>
        <v/>
      </c>
      <c r="O19" s="29">
        <f>(IF('주간 입력'!C247="",0,'주간 입력'!C247)+IF('주간 입력'!C248="",0,'주간 입력'!C248)+IF('주간 입력'!C249="",0,'주간 입력'!C249))*0.95</f>
        <v/>
      </c>
      <c r="P19" s="29">
        <f>IF('주간 입력'!C251="",0,'주간 입력'!C251)+IF('주간 입력'!C252="",0,'주간 입력'!C252*0.05)+IF('주간 입력'!C253="",0,'주간 입력'!C253)</f>
        <v/>
      </c>
      <c r="Q19" s="29">
        <f>IF(E19="","",J19+K19+L19+M19+N19+O19+P19)</f>
        <v/>
      </c>
      <c r="R19" s="29">
        <f>IF(E19="","",E19-Q19)</f>
        <v/>
      </c>
      <c r="S19" s="29">
        <f>IF(E19="","",F19-I19-I19*0.1)</f>
        <v/>
      </c>
      <c r="T19" s="28">
        <f>'주간 입력'!C254</f>
        <v/>
      </c>
    </row>
    <row r="20">
      <c r="A20" s="27">
        <f>'주간 입력'!C257</f>
        <v/>
      </c>
      <c r="B20" s="27">
        <f>'주간 입력'!C258</f>
        <v/>
      </c>
      <c r="C20" s="28">
        <f>'주간 입력'!C259</f>
        <v/>
      </c>
      <c r="D20" s="28">
        <f>'주간 입력'!C260</f>
        <v/>
      </c>
      <c r="E20" s="29">
        <f>'주간 입력'!C262</f>
        <v/>
      </c>
      <c r="F20" s="29">
        <f>'주간 입력'!C263</f>
        <v/>
      </c>
      <c r="G20" s="29">
        <f>IF(E20="","",E20+F20)</f>
        <v/>
      </c>
      <c r="H20" s="29">
        <f>IF(E20="","",E20*0.15)</f>
        <v/>
      </c>
      <c r="I20" s="29">
        <f>IF(E20="","",IF(F20="",0,F20*0.13))</f>
        <v/>
      </c>
      <c r="J20" s="29">
        <f>IF(E20="","",H20+I20)</f>
        <v/>
      </c>
      <c r="K20" s="29">
        <f>IF(E20="","",J20*0.1)</f>
        <v/>
      </c>
      <c r="L20" s="29">
        <f>IF('주간 입력'!C258=4,3000000,0)</f>
        <v/>
      </c>
      <c r="M20" s="29">
        <f>IF(L20=0,0,L20*0.1)</f>
        <v/>
      </c>
      <c r="N20" s="29">
        <f>IF('주간 입력'!C258=4,55000+15900+50000,0)</f>
        <v/>
      </c>
      <c r="O20" s="29">
        <f>(IF('주간 입력'!C265="",0,'주간 입력'!C265)+IF('주간 입력'!C266="",0,'주간 입력'!C266)+IF('주간 입력'!C267="",0,'주간 입력'!C267))*0.95</f>
        <v/>
      </c>
      <c r="P20" s="29">
        <f>IF('주간 입력'!C269="",0,'주간 입력'!C269)+IF('주간 입력'!C270="",0,'주간 입력'!C270*0.05)+IF('주간 입력'!C271="",0,'주간 입력'!C271)</f>
        <v/>
      </c>
      <c r="Q20" s="29">
        <f>IF(E20="","",J20+K20+L20+M20+N20+O20+P20)</f>
        <v/>
      </c>
      <c r="R20" s="29">
        <f>IF(E20="","",E20-Q20)</f>
        <v/>
      </c>
      <c r="S20" s="29">
        <f>IF(E20="","",F20-I20-I20*0.1)</f>
        <v/>
      </c>
      <c r="T20" s="28">
        <f>'주간 입력'!C272</f>
        <v/>
      </c>
    </row>
    <row r="21">
      <c r="A21" s="30" t="inlineStr">
        <is>
          <t>3월</t>
        </is>
      </c>
      <c r="B21" s="30" t="inlineStr">
        <is>
          <t>소계</t>
        </is>
      </c>
      <c r="C21" s="31" t="n"/>
      <c r="D21" s="31" t="n"/>
      <c r="E21" s="32">
        <f>SUM(E16:E20)</f>
        <v/>
      </c>
      <c r="F21" s="32">
        <f>SUM(F16:F20)</f>
        <v/>
      </c>
      <c r="G21" s="32">
        <f>SUM(G16:G20)</f>
        <v/>
      </c>
      <c r="H21" s="32">
        <f>SUM(H16:H20)</f>
        <v/>
      </c>
      <c r="I21" s="32">
        <f>SUM(I16:I20)</f>
        <v/>
      </c>
      <c r="J21" s="32">
        <f>SUM(J16:J20)</f>
        <v/>
      </c>
      <c r="K21" s="32">
        <f>SUM(K16:K20)</f>
        <v/>
      </c>
      <c r="L21" s="32">
        <f>SUM(L16:L20)</f>
        <v/>
      </c>
      <c r="M21" s="32">
        <f>SUM(M16:M20)</f>
        <v/>
      </c>
      <c r="N21" s="32">
        <f>SUM(N16:N20)</f>
        <v/>
      </c>
      <c r="O21" s="32">
        <f>SUM(O16:O20)</f>
        <v/>
      </c>
      <c r="P21" s="32">
        <f>SUM(P16:P20)</f>
        <v/>
      </c>
      <c r="Q21" s="32">
        <f>SUM(Q16:Q20)</f>
        <v/>
      </c>
      <c r="R21" s="32">
        <f>SUM(R16:R20)</f>
        <v/>
      </c>
      <c r="S21" s="32">
        <f>SUM(S16:S20)</f>
        <v/>
      </c>
      <c r="T21" s="31" t="n"/>
    </row>
    <row r="22">
      <c r="A22" s="27">
        <f>'주간 입력'!C275</f>
        <v/>
      </c>
      <c r="B22" s="27">
        <f>'주간 입력'!C276</f>
        <v/>
      </c>
      <c r="C22" s="28">
        <f>'주간 입력'!C277</f>
        <v/>
      </c>
      <c r="D22" s="28">
        <f>'주간 입력'!C278</f>
        <v/>
      </c>
      <c r="E22" s="29">
        <f>'주간 입력'!C280</f>
        <v/>
      </c>
      <c r="F22" s="29">
        <f>'주간 입력'!C281</f>
        <v/>
      </c>
      <c r="G22" s="29">
        <f>IF(E22="","",E22+F22)</f>
        <v/>
      </c>
      <c r="H22" s="29">
        <f>IF(E22="","",E22*0.15)</f>
        <v/>
      </c>
      <c r="I22" s="29">
        <f>IF(E22="","",IF(F22="",0,F22*0.13))</f>
        <v/>
      </c>
      <c r="J22" s="29">
        <f>IF(E22="","",H22+I22)</f>
        <v/>
      </c>
      <c r="K22" s="29">
        <f>IF(E22="","",J22*0.1)</f>
        <v/>
      </c>
      <c r="L22" s="29">
        <f>IF('주간 입력'!C276=4,3000000,0)</f>
        <v/>
      </c>
      <c r="M22" s="29">
        <f>IF(L22=0,0,L22*0.1)</f>
        <v/>
      </c>
      <c r="N22" s="29">
        <f>IF('주간 입력'!C276=4,55000+15900+50000,0)</f>
        <v/>
      </c>
      <c r="O22" s="29">
        <f>(IF('주간 입력'!C283="",0,'주간 입력'!C283)+IF('주간 입력'!C284="",0,'주간 입력'!C284)+IF('주간 입력'!C285="",0,'주간 입력'!C285))*0.95</f>
        <v/>
      </c>
      <c r="P22" s="29">
        <f>IF('주간 입력'!C287="",0,'주간 입력'!C287)+IF('주간 입력'!C288="",0,'주간 입력'!C288*0.05)+IF('주간 입력'!C289="",0,'주간 입력'!C289)</f>
        <v/>
      </c>
      <c r="Q22" s="29">
        <f>IF(E22="","",J22+K22+L22+M22+N22+O22+P22)</f>
        <v/>
      </c>
      <c r="R22" s="29">
        <f>IF(E22="","",E22-Q22)</f>
        <v/>
      </c>
      <c r="S22" s="29">
        <f>IF(E22="","",F22-I22-I22*0.1)</f>
        <v/>
      </c>
      <c r="T22" s="28">
        <f>'주간 입력'!C290</f>
        <v/>
      </c>
    </row>
    <row r="23">
      <c r="A23" s="27">
        <f>'주간 입력'!C293</f>
        <v/>
      </c>
      <c r="B23" s="27">
        <f>'주간 입력'!C294</f>
        <v/>
      </c>
      <c r="C23" s="28">
        <f>'주간 입력'!C295</f>
        <v/>
      </c>
      <c r="D23" s="28">
        <f>'주간 입력'!C296</f>
        <v/>
      </c>
      <c r="E23" s="29">
        <f>'주간 입력'!C298</f>
        <v/>
      </c>
      <c r="F23" s="29">
        <f>'주간 입력'!C299</f>
        <v/>
      </c>
      <c r="G23" s="29">
        <f>IF(E23="","",E23+F23)</f>
        <v/>
      </c>
      <c r="H23" s="29">
        <f>IF(E23="","",E23*0.15)</f>
        <v/>
      </c>
      <c r="I23" s="29">
        <f>IF(E23="","",IF(F23="",0,F23*0.13))</f>
        <v/>
      </c>
      <c r="J23" s="29">
        <f>IF(E23="","",H23+I23)</f>
        <v/>
      </c>
      <c r="K23" s="29">
        <f>IF(E23="","",J23*0.1)</f>
        <v/>
      </c>
      <c r="L23" s="29">
        <f>IF('주간 입력'!C294=4,3000000,0)</f>
        <v/>
      </c>
      <c r="M23" s="29">
        <f>IF(L23=0,0,L23*0.1)</f>
        <v/>
      </c>
      <c r="N23" s="29">
        <f>IF('주간 입력'!C294=4,55000+15900+50000,0)</f>
        <v/>
      </c>
      <c r="O23" s="29">
        <f>(IF('주간 입력'!C301="",0,'주간 입력'!C301)+IF('주간 입력'!C302="",0,'주간 입력'!C302)+IF('주간 입력'!C303="",0,'주간 입력'!C303))*0.95</f>
        <v/>
      </c>
      <c r="P23" s="29">
        <f>IF('주간 입력'!C305="",0,'주간 입력'!C305)+IF('주간 입력'!C306="",0,'주간 입력'!C306*0.05)+IF('주간 입력'!C307="",0,'주간 입력'!C307)</f>
        <v/>
      </c>
      <c r="Q23" s="29">
        <f>IF(E23="","",J23+K23+L23+M23+N23+O23+P23)</f>
        <v/>
      </c>
      <c r="R23" s="29">
        <f>IF(E23="","",E23-Q23)</f>
        <v/>
      </c>
      <c r="S23" s="29">
        <f>IF(E23="","",F23-I23-I23*0.1)</f>
        <v/>
      </c>
      <c r="T23" s="28">
        <f>'주간 입력'!C308</f>
        <v/>
      </c>
    </row>
    <row r="24">
      <c r="A24" s="27">
        <f>'주간 입력'!C311</f>
        <v/>
      </c>
      <c r="B24" s="27">
        <f>'주간 입력'!C312</f>
        <v/>
      </c>
      <c r="C24" s="28">
        <f>'주간 입력'!C313</f>
        <v/>
      </c>
      <c r="D24" s="28">
        <f>'주간 입력'!C314</f>
        <v/>
      </c>
      <c r="E24" s="29">
        <f>'주간 입력'!C316</f>
        <v/>
      </c>
      <c r="F24" s="29">
        <f>'주간 입력'!C317</f>
        <v/>
      </c>
      <c r="G24" s="29">
        <f>IF(E24="","",E24+F24)</f>
        <v/>
      </c>
      <c r="H24" s="29">
        <f>IF(E24="","",E24*0.15)</f>
        <v/>
      </c>
      <c r="I24" s="29">
        <f>IF(E24="","",IF(F24="",0,F24*0.13))</f>
        <v/>
      </c>
      <c r="J24" s="29">
        <f>IF(E24="","",H24+I24)</f>
        <v/>
      </c>
      <c r="K24" s="29">
        <f>IF(E24="","",J24*0.1)</f>
        <v/>
      </c>
      <c r="L24" s="29">
        <f>IF('주간 입력'!C312=4,3000000,0)</f>
        <v/>
      </c>
      <c r="M24" s="29">
        <f>IF(L24=0,0,L24*0.1)</f>
        <v/>
      </c>
      <c r="N24" s="29">
        <f>IF('주간 입력'!C312=4,55000+15900+50000,0)</f>
        <v/>
      </c>
      <c r="O24" s="29">
        <f>(IF('주간 입력'!C319="",0,'주간 입력'!C319)+IF('주간 입력'!C320="",0,'주간 입력'!C320)+IF('주간 입력'!C321="",0,'주간 입력'!C321))*0.95</f>
        <v/>
      </c>
      <c r="P24" s="29">
        <f>IF('주간 입력'!C323="",0,'주간 입력'!C323)+IF('주간 입력'!C324="",0,'주간 입력'!C324*0.05)+IF('주간 입력'!C325="",0,'주간 입력'!C325)</f>
        <v/>
      </c>
      <c r="Q24" s="29">
        <f>IF(E24="","",J24+K24+L24+M24+N24+O24+P24)</f>
        <v/>
      </c>
      <c r="R24" s="29">
        <f>IF(E24="","",E24-Q24)</f>
        <v/>
      </c>
      <c r="S24" s="29">
        <f>IF(E24="","",F24-I24-I24*0.1)</f>
        <v/>
      </c>
      <c r="T24" s="28">
        <f>'주간 입력'!C326</f>
        <v/>
      </c>
    </row>
    <row r="25">
      <c r="A25" s="27">
        <f>'주간 입력'!C329</f>
        <v/>
      </c>
      <c r="B25" s="27">
        <f>'주간 입력'!C330</f>
        <v/>
      </c>
      <c r="C25" s="28">
        <f>'주간 입력'!C331</f>
        <v/>
      </c>
      <c r="D25" s="28">
        <f>'주간 입력'!C332</f>
        <v/>
      </c>
      <c r="E25" s="29">
        <f>'주간 입력'!C334</f>
        <v/>
      </c>
      <c r="F25" s="29">
        <f>'주간 입력'!C335</f>
        <v/>
      </c>
      <c r="G25" s="29">
        <f>IF(E25="","",E25+F25)</f>
        <v/>
      </c>
      <c r="H25" s="29">
        <f>IF(E25="","",E25*0.15)</f>
        <v/>
      </c>
      <c r="I25" s="29">
        <f>IF(E25="","",IF(F25="",0,F25*0.13))</f>
        <v/>
      </c>
      <c r="J25" s="29">
        <f>IF(E25="","",H25+I25)</f>
        <v/>
      </c>
      <c r="K25" s="29">
        <f>IF(E25="","",J25*0.1)</f>
        <v/>
      </c>
      <c r="L25" s="29">
        <f>IF('주간 입력'!C330=4,3000000,0)</f>
        <v/>
      </c>
      <c r="M25" s="29">
        <f>IF(L25=0,0,L25*0.1)</f>
        <v/>
      </c>
      <c r="N25" s="29">
        <f>IF('주간 입력'!C330=4,55000+15900+50000,0)</f>
        <v/>
      </c>
      <c r="O25" s="29">
        <f>(IF('주간 입력'!C337="",0,'주간 입력'!C337)+IF('주간 입력'!C338="",0,'주간 입력'!C338)+IF('주간 입력'!C339="",0,'주간 입력'!C339))*0.95</f>
        <v/>
      </c>
      <c r="P25" s="29">
        <f>IF('주간 입력'!C341="",0,'주간 입력'!C341)+IF('주간 입력'!C342="",0,'주간 입력'!C342*0.05)+IF('주간 입력'!C343="",0,'주간 입력'!C343)</f>
        <v/>
      </c>
      <c r="Q25" s="29">
        <f>IF(E25="","",J25+K25+L25+M25+N25+O25+P25)</f>
        <v/>
      </c>
      <c r="R25" s="29">
        <f>IF(E25="","",E25-Q25)</f>
        <v/>
      </c>
      <c r="S25" s="29">
        <f>IF(E25="","",F25-I25-I25*0.1)</f>
        <v/>
      </c>
      <c r="T25" s="28">
        <f>'주간 입력'!C344</f>
        <v/>
      </c>
    </row>
    <row r="26">
      <c r="A26" s="27">
        <f>'주간 입력'!C347</f>
        <v/>
      </c>
      <c r="B26" s="27">
        <f>'주간 입력'!C348</f>
        <v/>
      </c>
      <c r="C26" s="28">
        <f>'주간 입력'!C349</f>
        <v/>
      </c>
      <c r="D26" s="28">
        <f>'주간 입력'!C350</f>
        <v/>
      </c>
      <c r="E26" s="29">
        <f>'주간 입력'!C352</f>
        <v/>
      </c>
      <c r="F26" s="29">
        <f>'주간 입력'!C353</f>
        <v/>
      </c>
      <c r="G26" s="29">
        <f>IF(E26="","",E26+F26)</f>
        <v/>
      </c>
      <c r="H26" s="29">
        <f>IF(E26="","",E26*0.15)</f>
        <v/>
      </c>
      <c r="I26" s="29">
        <f>IF(E26="","",IF(F26="",0,F26*0.13))</f>
        <v/>
      </c>
      <c r="J26" s="29">
        <f>IF(E26="","",H26+I26)</f>
        <v/>
      </c>
      <c r="K26" s="29">
        <f>IF(E26="","",J26*0.1)</f>
        <v/>
      </c>
      <c r="L26" s="29">
        <f>IF('주간 입력'!C348=4,3000000,0)</f>
        <v/>
      </c>
      <c r="M26" s="29">
        <f>IF(L26=0,0,L26*0.1)</f>
        <v/>
      </c>
      <c r="N26" s="29">
        <f>IF('주간 입력'!C348=4,55000+15900+50000,0)</f>
        <v/>
      </c>
      <c r="O26" s="29">
        <f>(IF('주간 입력'!C355="",0,'주간 입력'!C355)+IF('주간 입력'!C356="",0,'주간 입력'!C356)+IF('주간 입력'!C357="",0,'주간 입력'!C357))*0.95</f>
        <v/>
      </c>
      <c r="P26" s="29">
        <f>IF('주간 입력'!C359="",0,'주간 입력'!C359)+IF('주간 입력'!C360="",0,'주간 입력'!C360*0.05)+IF('주간 입력'!C361="",0,'주간 입력'!C361)</f>
        <v/>
      </c>
      <c r="Q26" s="29">
        <f>IF(E26="","",J26+K26+L26+M26+N26+O26+P26)</f>
        <v/>
      </c>
      <c r="R26" s="29">
        <f>IF(E26="","",E26-Q26)</f>
        <v/>
      </c>
      <c r="S26" s="29">
        <f>IF(E26="","",F26-I26-I26*0.1)</f>
        <v/>
      </c>
      <c r="T26" s="28">
        <f>'주간 입력'!C362</f>
        <v/>
      </c>
    </row>
    <row r="27">
      <c r="A27" s="30" t="inlineStr">
        <is>
          <t>4월</t>
        </is>
      </c>
      <c r="B27" s="30" t="inlineStr">
        <is>
          <t>소계</t>
        </is>
      </c>
      <c r="C27" s="31" t="n"/>
      <c r="D27" s="31" t="n"/>
      <c r="E27" s="32">
        <f>SUM(E22:E26)</f>
        <v/>
      </c>
      <c r="F27" s="32">
        <f>SUM(F22:F26)</f>
        <v/>
      </c>
      <c r="G27" s="32">
        <f>SUM(G22:G26)</f>
        <v/>
      </c>
      <c r="H27" s="32">
        <f>SUM(H22:H26)</f>
        <v/>
      </c>
      <c r="I27" s="32">
        <f>SUM(I22:I26)</f>
        <v/>
      </c>
      <c r="J27" s="32">
        <f>SUM(J22:J26)</f>
        <v/>
      </c>
      <c r="K27" s="32">
        <f>SUM(K22:K26)</f>
        <v/>
      </c>
      <c r="L27" s="32">
        <f>SUM(L22:L26)</f>
        <v/>
      </c>
      <c r="M27" s="32">
        <f>SUM(M22:M26)</f>
        <v/>
      </c>
      <c r="N27" s="32">
        <f>SUM(N22:N26)</f>
        <v/>
      </c>
      <c r="O27" s="32">
        <f>SUM(O22:O26)</f>
        <v/>
      </c>
      <c r="P27" s="32">
        <f>SUM(P22:P26)</f>
        <v/>
      </c>
      <c r="Q27" s="32">
        <f>SUM(Q22:Q26)</f>
        <v/>
      </c>
      <c r="R27" s="32">
        <f>SUM(R22:R26)</f>
        <v/>
      </c>
      <c r="S27" s="32">
        <f>SUM(S22:S26)</f>
        <v/>
      </c>
      <c r="T27" s="31" t="n"/>
    </row>
    <row r="28">
      <c r="A28" s="27">
        <f>'주간 입력'!C365</f>
        <v/>
      </c>
      <c r="B28" s="27">
        <f>'주간 입력'!C366</f>
        <v/>
      </c>
      <c r="C28" s="28">
        <f>'주간 입력'!C367</f>
        <v/>
      </c>
      <c r="D28" s="28">
        <f>'주간 입력'!C368</f>
        <v/>
      </c>
      <c r="E28" s="29">
        <f>'주간 입력'!C370</f>
        <v/>
      </c>
      <c r="F28" s="29">
        <f>'주간 입력'!C371</f>
        <v/>
      </c>
      <c r="G28" s="29">
        <f>IF(E28="","",E28+F28)</f>
        <v/>
      </c>
      <c r="H28" s="29">
        <f>IF(E28="","",E28*0.15)</f>
        <v/>
      </c>
      <c r="I28" s="29">
        <f>IF(E28="","",IF(F28="",0,F28*0.13))</f>
        <v/>
      </c>
      <c r="J28" s="29">
        <f>IF(E28="","",H28+I28)</f>
        <v/>
      </c>
      <c r="K28" s="29">
        <f>IF(E28="","",J28*0.1)</f>
        <v/>
      </c>
      <c r="L28" s="29">
        <f>IF('주간 입력'!C366=4,3000000,0)</f>
        <v/>
      </c>
      <c r="M28" s="29">
        <f>IF(L28=0,0,L28*0.1)</f>
        <v/>
      </c>
      <c r="N28" s="29">
        <f>IF('주간 입력'!C366=4,55000+15900+50000,0)</f>
        <v/>
      </c>
      <c r="O28" s="29">
        <f>(IF('주간 입력'!C373="",0,'주간 입력'!C373)+IF('주간 입력'!C374="",0,'주간 입력'!C374)+IF('주간 입력'!C375="",0,'주간 입력'!C375))*0.95</f>
        <v/>
      </c>
      <c r="P28" s="29">
        <f>IF('주간 입력'!C377="",0,'주간 입력'!C377)+IF('주간 입력'!C378="",0,'주간 입력'!C378*0.05)+IF('주간 입력'!C379="",0,'주간 입력'!C379)</f>
        <v/>
      </c>
      <c r="Q28" s="29">
        <f>IF(E28="","",J28+K28+L28+M28+N28+O28+P28)</f>
        <v/>
      </c>
      <c r="R28" s="29">
        <f>IF(E28="","",E28-Q28)</f>
        <v/>
      </c>
      <c r="S28" s="29">
        <f>IF(E28="","",F28-I28-I28*0.1)</f>
        <v/>
      </c>
      <c r="T28" s="28">
        <f>'주간 입력'!C380</f>
        <v/>
      </c>
    </row>
    <row r="29">
      <c r="A29" s="27">
        <f>'주간 입력'!C383</f>
        <v/>
      </c>
      <c r="B29" s="27">
        <f>'주간 입력'!C384</f>
        <v/>
      </c>
      <c r="C29" s="28">
        <f>'주간 입력'!C385</f>
        <v/>
      </c>
      <c r="D29" s="28">
        <f>'주간 입력'!C386</f>
        <v/>
      </c>
      <c r="E29" s="29">
        <f>'주간 입력'!C388</f>
        <v/>
      </c>
      <c r="F29" s="29">
        <f>'주간 입력'!C389</f>
        <v/>
      </c>
      <c r="G29" s="29">
        <f>IF(E29="","",E29+F29)</f>
        <v/>
      </c>
      <c r="H29" s="29">
        <f>IF(E29="","",E29*0.15)</f>
        <v/>
      </c>
      <c r="I29" s="29">
        <f>IF(E29="","",IF(F29="",0,F29*0.13))</f>
        <v/>
      </c>
      <c r="J29" s="29">
        <f>IF(E29="","",H29+I29)</f>
        <v/>
      </c>
      <c r="K29" s="29">
        <f>IF(E29="","",J29*0.1)</f>
        <v/>
      </c>
      <c r="L29" s="29">
        <f>IF('주간 입력'!C384=4,3000000,0)</f>
        <v/>
      </c>
      <c r="M29" s="29">
        <f>IF(L29=0,0,L29*0.1)</f>
        <v/>
      </c>
      <c r="N29" s="29">
        <f>IF('주간 입력'!C384=4,55000+15900+50000,0)</f>
        <v/>
      </c>
      <c r="O29" s="29">
        <f>(IF('주간 입력'!C391="",0,'주간 입력'!C391)+IF('주간 입력'!C392="",0,'주간 입력'!C392)+IF('주간 입력'!C393="",0,'주간 입력'!C393))*0.95</f>
        <v/>
      </c>
      <c r="P29" s="29">
        <f>IF('주간 입력'!C395="",0,'주간 입력'!C395)+IF('주간 입력'!C396="",0,'주간 입력'!C396*0.05)+IF('주간 입력'!C397="",0,'주간 입력'!C397)</f>
        <v/>
      </c>
      <c r="Q29" s="29">
        <f>IF(E29="","",J29+K29+L29+M29+N29+O29+P29)</f>
        <v/>
      </c>
      <c r="R29" s="29">
        <f>IF(E29="","",E29-Q29)</f>
        <v/>
      </c>
      <c r="S29" s="29">
        <f>IF(E29="","",F29-I29-I29*0.1)</f>
        <v/>
      </c>
      <c r="T29" s="28">
        <f>'주간 입력'!C398</f>
        <v/>
      </c>
    </row>
    <row r="30">
      <c r="A30" s="27">
        <f>'주간 입력'!C401</f>
        <v/>
      </c>
      <c r="B30" s="27">
        <f>'주간 입력'!C402</f>
        <v/>
      </c>
      <c r="C30" s="28">
        <f>'주간 입력'!C403</f>
        <v/>
      </c>
      <c r="D30" s="28">
        <f>'주간 입력'!C404</f>
        <v/>
      </c>
      <c r="E30" s="29">
        <f>'주간 입력'!C406</f>
        <v/>
      </c>
      <c r="F30" s="29">
        <f>'주간 입력'!C407</f>
        <v/>
      </c>
      <c r="G30" s="29">
        <f>IF(E30="","",E30+F30)</f>
        <v/>
      </c>
      <c r="H30" s="29">
        <f>IF(E30="","",E30*0.15)</f>
        <v/>
      </c>
      <c r="I30" s="29">
        <f>IF(E30="","",IF(F30="",0,F30*0.13))</f>
        <v/>
      </c>
      <c r="J30" s="29">
        <f>IF(E30="","",H30+I30)</f>
        <v/>
      </c>
      <c r="K30" s="29">
        <f>IF(E30="","",J30*0.1)</f>
        <v/>
      </c>
      <c r="L30" s="29">
        <f>IF('주간 입력'!C402=4,3000000,0)</f>
        <v/>
      </c>
      <c r="M30" s="29">
        <f>IF(L30=0,0,L30*0.1)</f>
        <v/>
      </c>
      <c r="N30" s="29">
        <f>IF('주간 입력'!C402=4,55000+15900+50000,0)</f>
        <v/>
      </c>
      <c r="O30" s="29">
        <f>(IF('주간 입력'!C409="",0,'주간 입력'!C409)+IF('주간 입력'!C410="",0,'주간 입력'!C410)+IF('주간 입력'!C411="",0,'주간 입력'!C411))*0.95</f>
        <v/>
      </c>
      <c r="P30" s="29">
        <f>IF('주간 입력'!C413="",0,'주간 입력'!C413)+IF('주간 입력'!C414="",0,'주간 입력'!C414*0.05)+IF('주간 입력'!C415="",0,'주간 입력'!C415)</f>
        <v/>
      </c>
      <c r="Q30" s="29">
        <f>IF(E30="","",J30+K30+L30+M30+N30+O30+P30)</f>
        <v/>
      </c>
      <c r="R30" s="29">
        <f>IF(E30="","",E30-Q30)</f>
        <v/>
      </c>
      <c r="S30" s="29">
        <f>IF(E30="","",F30-I30-I30*0.1)</f>
        <v/>
      </c>
      <c r="T30" s="28">
        <f>'주간 입력'!C416</f>
        <v/>
      </c>
    </row>
    <row r="31">
      <c r="A31" s="27">
        <f>'주간 입력'!C419</f>
        <v/>
      </c>
      <c r="B31" s="27">
        <f>'주간 입력'!C420</f>
        <v/>
      </c>
      <c r="C31" s="28">
        <f>'주간 입력'!C421</f>
        <v/>
      </c>
      <c r="D31" s="28">
        <f>'주간 입력'!C422</f>
        <v/>
      </c>
      <c r="E31" s="29">
        <f>'주간 입력'!C424</f>
        <v/>
      </c>
      <c r="F31" s="29">
        <f>'주간 입력'!C425</f>
        <v/>
      </c>
      <c r="G31" s="29">
        <f>IF(E31="","",E31+F31)</f>
        <v/>
      </c>
      <c r="H31" s="29">
        <f>IF(E31="","",E31*0.15)</f>
        <v/>
      </c>
      <c r="I31" s="29">
        <f>IF(E31="","",IF(F31="",0,F31*0.13))</f>
        <v/>
      </c>
      <c r="J31" s="29">
        <f>IF(E31="","",H31+I31)</f>
        <v/>
      </c>
      <c r="K31" s="29">
        <f>IF(E31="","",J31*0.1)</f>
        <v/>
      </c>
      <c r="L31" s="29">
        <f>IF('주간 입력'!C420=4,3000000,0)</f>
        <v/>
      </c>
      <c r="M31" s="29">
        <f>IF(L31=0,0,L31*0.1)</f>
        <v/>
      </c>
      <c r="N31" s="29">
        <f>IF('주간 입력'!C420=4,55000+15900+50000,0)</f>
        <v/>
      </c>
      <c r="O31" s="29">
        <f>(IF('주간 입력'!C427="",0,'주간 입력'!C427)+IF('주간 입력'!C428="",0,'주간 입력'!C428)+IF('주간 입력'!C429="",0,'주간 입력'!C429))*0.95</f>
        <v/>
      </c>
      <c r="P31" s="29">
        <f>IF('주간 입력'!C431="",0,'주간 입력'!C431)+IF('주간 입력'!C432="",0,'주간 입력'!C432*0.05)+IF('주간 입력'!C433="",0,'주간 입력'!C433)</f>
        <v/>
      </c>
      <c r="Q31" s="29">
        <f>IF(E31="","",J31+K31+L31+M31+N31+O31+P31)</f>
        <v/>
      </c>
      <c r="R31" s="29">
        <f>IF(E31="","",E31-Q31)</f>
        <v/>
      </c>
      <c r="S31" s="29">
        <f>IF(E31="","",F31-I31-I31*0.1)</f>
        <v/>
      </c>
      <c r="T31" s="28">
        <f>'주간 입력'!C434</f>
        <v/>
      </c>
    </row>
    <row r="32">
      <c r="A32" s="27">
        <f>'주간 입력'!C437</f>
        <v/>
      </c>
      <c r="B32" s="27">
        <f>'주간 입력'!C438</f>
        <v/>
      </c>
      <c r="C32" s="28">
        <f>'주간 입력'!C439</f>
        <v/>
      </c>
      <c r="D32" s="28">
        <f>'주간 입력'!C440</f>
        <v/>
      </c>
      <c r="E32" s="29">
        <f>'주간 입력'!C442</f>
        <v/>
      </c>
      <c r="F32" s="29">
        <f>'주간 입력'!C443</f>
        <v/>
      </c>
      <c r="G32" s="29">
        <f>IF(E32="","",E32+F32)</f>
        <v/>
      </c>
      <c r="H32" s="29">
        <f>IF(E32="","",E32*0.15)</f>
        <v/>
      </c>
      <c r="I32" s="29">
        <f>IF(E32="","",IF(F32="",0,F32*0.13))</f>
        <v/>
      </c>
      <c r="J32" s="29">
        <f>IF(E32="","",H32+I32)</f>
        <v/>
      </c>
      <c r="K32" s="29">
        <f>IF(E32="","",J32*0.1)</f>
        <v/>
      </c>
      <c r="L32" s="29">
        <f>IF('주간 입력'!C438=4,3000000,0)</f>
        <v/>
      </c>
      <c r="M32" s="29">
        <f>IF(L32=0,0,L32*0.1)</f>
        <v/>
      </c>
      <c r="N32" s="29">
        <f>IF('주간 입력'!C438=4,55000+15900+50000,0)</f>
        <v/>
      </c>
      <c r="O32" s="29">
        <f>(IF('주간 입력'!C445="",0,'주간 입력'!C445)+IF('주간 입력'!C446="",0,'주간 입력'!C446)+IF('주간 입력'!C447="",0,'주간 입력'!C447))*0.95</f>
        <v/>
      </c>
      <c r="P32" s="29">
        <f>IF('주간 입력'!C449="",0,'주간 입력'!C449)+IF('주간 입력'!C450="",0,'주간 입력'!C450*0.05)+IF('주간 입력'!C451="",0,'주간 입력'!C451)</f>
        <v/>
      </c>
      <c r="Q32" s="29">
        <f>IF(E32="","",J32+K32+L32+M32+N32+O32+P32)</f>
        <v/>
      </c>
      <c r="R32" s="29">
        <f>IF(E32="","",E32-Q32)</f>
        <v/>
      </c>
      <c r="S32" s="29">
        <f>IF(E32="","",F32-I32-I32*0.1)</f>
        <v/>
      </c>
      <c r="T32" s="28">
        <f>'주간 입력'!C452</f>
        <v/>
      </c>
    </row>
    <row r="33">
      <c r="A33" s="30" t="inlineStr">
        <is>
          <t>5월</t>
        </is>
      </c>
      <c r="B33" s="30" t="inlineStr">
        <is>
          <t>소계</t>
        </is>
      </c>
      <c r="C33" s="31" t="n"/>
      <c r="D33" s="31" t="n"/>
      <c r="E33" s="32">
        <f>SUM(E28:E32)</f>
        <v/>
      </c>
      <c r="F33" s="32">
        <f>SUM(F28:F32)</f>
        <v/>
      </c>
      <c r="G33" s="32">
        <f>SUM(G28:G32)</f>
        <v/>
      </c>
      <c r="H33" s="32">
        <f>SUM(H28:H32)</f>
        <v/>
      </c>
      <c r="I33" s="32">
        <f>SUM(I28:I32)</f>
        <v/>
      </c>
      <c r="J33" s="32">
        <f>SUM(J28:J32)</f>
        <v/>
      </c>
      <c r="K33" s="32">
        <f>SUM(K28:K32)</f>
        <v/>
      </c>
      <c r="L33" s="32">
        <f>SUM(L28:L32)</f>
        <v/>
      </c>
      <c r="M33" s="32">
        <f>SUM(M28:M32)</f>
        <v/>
      </c>
      <c r="N33" s="32">
        <f>SUM(N28:N32)</f>
        <v/>
      </c>
      <c r="O33" s="32">
        <f>SUM(O28:O32)</f>
        <v/>
      </c>
      <c r="P33" s="32">
        <f>SUM(P28:P32)</f>
        <v/>
      </c>
      <c r="Q33" s="32">
        <f>SUM(Q28:Q32)</f>
        <v/>
      </c>
      <c r="R33" s="32">
        <f>SUM(R28:R32)</f>
        <v/>
      </c>
      <c r="S33" s="32">
        <f>SUM(S28:S32)</f>
        <v/>
      </c>
      <c r="T33" s="31" t="n"/>
    </row>
    <row r="34">
      <c r="A34" s="27">
        <f>'주간 입력'!C455</f>
        <v/>
      </c>
      <c r="B34" s="27">
        <f>'주간 입력'!C456</f>
        <v/>
      </c>
      <c r="C34" s="28">
        <f>'주간 입력'!C457</f>
        <v/>
      </c>
      <c r="D34" s="28">
        <f>'주간 입력'!C458</f>
        <v/>
      </c>
      <c r="E34" s="29">
        <f>'주간 입력'!C460</f>
        <v/>
      </c>
      <c r="F34" s="29">
        <f>'주간 입력'!C461</f>
        <v/>
      </c>
      <c r="G34" s="29">
        <f>IF(E34="","",E34+F34)</f>
        <v/>
      </c>
      <c r="H34" s="29">
        <f>IF(E34="","",E34*0.15)</f>
        <v/>
      </c>
      <c r="I34" s="29">
        <f>IF(E34="","",IF(F34="",0,F34*0.13))</f>
        <v/>
      </c>
      <c r="J34" s="29">
        <f>IF(E34="","",H34+I34)</f>
        <v/>
      </c>
      <c r="K34" s="29">
        <f>IF(E34="","",J34*0.1)</f>
        <v/>
      </c>
      <c r="L34" s="29">
        <f>IF('주간 입력'!C456=4,3000000,0)</f>
        <v/>
      </c>
      <c r="M34" s="29">
        <f>IF(L34=0,0,L34*0.1)</f>
        <v/>
      </c>
      <c r="N34" s="29">
        <f>IF('주간 입력'!C456=4,55000+15900+50000,0)</f>
        <v/>
      </c>
      <c r="O34" s="29">
        <f>(IF('주간 입력'!C463="",0,'주간 입력'!C463)+IF('주간 입력'!C464="",0,'주간 입력'!C464)+IF('주간 입력'!C465="",0,'주간 입력'!C465))*0.95</f>
        <v/>
      </c>
      <c r="P34" s="29">
        <f>IF('주간 입력'!C467="",0,'주간 입력'!C467)+IF('주간 입력'!C468="",0,'주간 입력'!C468*0.05)+IF('주간 입력'!C469="",0,'주간 입력'!C469)</f>
        <v/>
      </c>
      <c r="Q34" s="29">
        <f>IF(E34="","",J34+K34+L34+M34+N34+O34+P34)</f>
        <v/>
      </c>
      <c r="R34" s="29">
        <f>IF(E34="","",E34-Q34)</f>
        <v/>
      </c>
      <c r="S34" s="29">
        <f>IF(E34="","",F34-I34-I34*0.1)</f>
        <v/>
      </c>
      <c r="T34" s="28">
        <f>'주간 입력'!C470</f>
        <v/>
      </c>
    </row>
    <row r="35">
      <c r="A35" s="27">
        <f>'주간 입력'!C473</f>
        <v/>
      </c>
      <c r="B35" s="27">
        <f>'주간 입력'!C474</f>
        <v/>
      </c>
      <c r="C35" s="28">
        <f>'주간 입력'!C475</f>
        <v/>
      </c>
      <c r="D35" s="28">
        <f>'주간 입력'!C476</f>
        <v/>
      </c>
      <c r="E35" s="29">
        <f>'주간 입력'!C478</f>
        <v/>
      </c>
      <c r="F35" s="29">
        <f>'주간 입력'!C479</f>
        <v/>
      </c>
      <c r="G35" s="29">
        <f>IF(E35="","",E35+F35)</f>
        <v/>
      </c>
      <c r="H35" s="29">
        <f>IF(E35="","",E35*0.15)</f>
        <v/>
      </c>
      <c r="I35" s="29">
        <f>IF(E35="","",IF(F35="",0,F35*0.13))</f>
        <v/>
      </c>
      <c r="J35" s="29">
        <f>IF(E35="","",H35+I35)</f>
        <v/>
      </c>
      <c r="K35" s="29">
        <f>IF(E35="","",J35*0.1)</f>
        <v/>
      </c>
      <c r="L35" s="29">
        <f>IF('주간 입력'!C474=4,3000000,0)</f>
        <v/>
      </c>
      <c r="M35" s="29">
        <f>IF(L35=0,0,L35*0.1)</f>
        <v/>
      </c>
      <c r="N35" s="29">
        <f>IF('주간 입력'!C474=4,55000+15900+50000,0)</f>
        <v/>
      </c>
      <c r="O35" s="29">
        <f>(IF('주간 입력'!C481="",0,'주간 입력'!C481)+IF('주간 입력'!C482="",0,'주간 입력'!C482)+IF('주간 입력'!C483="",0,'주간 입력'!C483))*0.95</f>
        <v/>
      </c>
      <c r="P35" s="29">
        <f>IF('주간 입력'!C485="",0,'주간 입력'!C485)+IF('주간 입력'!C486="",0,'주간 입력'!C486*0.05)+IF('주간 입력'!C487="",0,'주간 입력'!C487)</f>
        <v/>
      </c>
      <c r="Q35" s="29">
        <f>IF(E35="","",J35+K35+L35+M35+N35+O35+P35)</f>
        <v/>
      </c>
      <c r="R35" s="29">
        <f>IF(E35="","",E35-Q35)</f>
        <v/>
      </c>
      <c r="S35" s="29">
        <f>IF(E35="","",F35-I35-I35*0.1)</f>
        <v/>
      </c>
      <c r="T35" s="28">
        <f>'주간 입력'!C488</f>
        <v/>
      </c>
    </row>
    <row r="36">
      <c r="A36" s="27">
        <f>'주간 입력'!C491</f>
        <v/>
      </c>
      <c r="B36" s="27">
        <f>'주간 입력'!C492</f>
        <v/>
      </c>
      <c r="C36" s="28">
        <f>'주간 입력'!C493</f>
        <v/>
      </c>
      <c r="D36" s="28">
        <f>'주간 입력'!C494</f>
        <v/>
      </c>
      <c r="E36" s="29">
        <f>'주간 입력'!C496</f>
        <v/>
      </c>
      <c r="F36" s="29">
        <f>'주간 입력'!C497</f>
        <v/>
      </c>
      <c r="G36" s="29">
        <f>IF(E36="","",E36+F36)</f>
        <v/>
      </c>
      <c r="H36" s="29">
        <f>IF(E36="","",E36*0.15)</f>
        <v/>
      </c>
      <c r="I36" s="29">
        <f>IF(E36="","",IF(F36="",0,F36*0.13))</f>
        <v/>
      </c>
      <c r="J36" s="29">
        <f>IF(E36="","",H36+I36)</f>
        <v/>
      </c>
      <c r="K36" s="29">
        <f>IF(E36="","",J36*0.1)</f>
        <v/>
      </c>
      <c r="L36" s="29">
        <f>IF('주간 입력'!C492=4,3000000,0)</f>
        <v/>
      </c>
      <c r="M36" s="29">
        <f>IF(L36=0,0,L36*0.1)</f>
        <v/>
      </c>
      <c r="N36" s="29">
        <f>IF('주간 입력'!C492=4,55000+15900+50000,0)</f>
        <v/>
      </c>
      <c r="O36" s="29">
        <f>(IF('주간 입력'!C499="",0,'주간 입력'!C499)+IF('주간 입력'!C500="",0,'주간 입력'!C500)+IF('주간 입력'!C501="",0,'주간 입력'!C501))*0.95</f>
        <v/>
      </c>
      <c r="P36" s="29">
        <f>IF('주간 입력'!C503="",0,'주간 입력'!C503)+IF('주간 입력'!C504="",0,'주간 입력'!C504*0.05)+IF('주간 입력'!C505="",0,'주간 입력'!C505)</f>
        <v/>
      </c>
      <c r="Q36" s="29">
        <f>IF(E36="","",J36+K36+L36+M36+N36+O36+P36)</f>
        <v/>
      </c>
      <c r="R36" s="29">
        <f>IF(E36="","",E36-Q36)</f>
        <v/>
      </c>
      <c r="S36" s="29">
        <f>IF(E36="","",F36-I36-I36*0.1)</f>
        <v/>
      </c>
      <c r="T36" s="28">
        <f>'주간 입력'!C506</f>
        <v/>
      </c>
    </row>
    <row r="37">
      <c r="A37" s="27">
        <f>'주간 입력'!C509</f>
        <v/>
      </c>
      <c r="B37" s="27">
        <f>'주간 입력'!C510</f>
        <v/>
      </c>
      <c r="C37" s="28">
        <f>'주간 입력'!C511</f>
        <v/>
      </c>
      <c r="D37" s="28">
        <f>'주간 입력'!C512</f>
        <v/>
      </c>
      <c r="E37" s="29">
        <f>'주간 입력'!C514</f>
        <v/>
      </c>
      <c r="F37" s="29">
        <f>'주간 입력'!C515</f>
        <v/>
      </c>
      <c r="G37" s="29">
        <f>IF(E37="","",E37+F37)</f>
        <v/>
      </c>
      <c r="H37" s="29">
        <f>IF(E37="","",E37*0.15)</f>
        <v/>
      </c>
      <c r="I37" s="29">
        <f>IF(E37="","",IF(F37="",0,F37*0.13))</f>
        <v/>
      </c>
      <c r="J37" s="29">
        <f>IF(E37="","",H37+I37)</f>
        <v/>
      </c>
      <c r="K37" s="29">
        <f>IF(E37="","",J37*0.1)</f>
        <v/>
      </c>
      <c r="L37" s="29">
        <f>IF('주간 입력'!C510=4,3000000,0)</f>
        <v/>
      </c>
      <c r="M37" s="29">
        <f>IF(L37=0,0,L37*0.1)</f>
        <v/>
      </c>
      <c r="N37" s="29">
        <f>IF('주간 입력'!C510=4,55000+15900+50000,0)</f>
        <v/>
      </c>
      <c r="O37" s="29">
        <f>(IF('주간 입력'!C517="",0,'주간 입력'!C517)+IF('주간 입력'!C518="",0,'주간 입력'!C518)+IF('주간 입력'!C519="",0,'주간 입력'!C519))*0.95</f>
        <v/>
      </c>
      <c r="P37" s="29">
        <f>IF('주간 입력'!C521="",0,'주간 입력'!C521)+IF('주간 입력'!C522="",0,'주간 입력'!C522*0.05)+IF('주간 입력'!C523="",0,'주간 입력'!C523)</f>
        <v/>
      </c>
      <c r="Q37" s="29">
        <f>IF(E37="","",J37+K37+L37+M37+N37+O37+P37)</f>
        <v/>
      </c>
      <c r="R37" s="29">
        <f>IF(E37="","",E37-Q37)</f>
        <v/>
      </c>
      <c r="S37" s="29">
        <f>IF(E37="","",F37-I37-I37*0.1)</f>
        <v/>
      </c>
      <c r="T37" s="28">
        <f>'주간 입력'!C524</f>
        <v/>
      </c>
    </row>
    <row r="38">
      <c r="A38" s="27">
        <f>'주간 입력'!C527</f>
        <v/>
      </c>
      <c r="B38" s="27">
        <f>'주간 입력'!C528</f>
        <v/>
      </c>
      <c r="C38" s="28">
        <f>'주간 입력'!C529</f>
        <v/>
      </c>
      <c r="D38" s="28">
        <f>'주간 입력'!C530</f>
        <v/>
      </c>
      <c r="E38" s="29">
        <f>'주간 입력'!C532</f>
        <v/>
      </c>
      <c r="F38" s="29">
        <f>'주간 입력'!C533</f>
        <v/>
      </c>
      <c r="G38" s="29">
        <f>IF(E38="","",E38+F38)</f>
        <v/>
      </c>
      <c r="H38" s="29">
        <f>IF(E38="","",E38*0.15)</f>
        <v/>
      </c>
      <c r="I38" s="29">
        <f>IF(E38="","",IF(F38="",0,F38*0.13))</f>
        <v/>
      </c>
      <c r="J38" s="29">
        <f>IF(E38="","",H38+I38)</f>
        <v/>
      </c>
      <c r="K38" s="29">
        <f>IF(E38="","",J38*0.1)</f>
        <v/>
      </c>
      <c r="L38" s="29">
        <f>IF('주간 입력'!C528=4,3000000,0)</f>
        <v/>
      </c>
      <c r="M38" s="29">
        <f>IF(L38=0,0,L38*0.1)</f>
        <v/>
      </c>
      <c r="N38" s="29">
        <f>IF('주간 입력'!C528=4,55000+15900+50000,0)</f>
        <v/>
      </c>
      <c r="O38" s="29">
        <f>(IF('주간 입력'!C535="",0,'주간 입력'!C535)+IF('주간 입력'!C536="",0,'주간 입력'!C536)+IF('주간 입력'!C537="",0,'주간 입력'!C537))*0.95</f>
        <v/>
      </c>
      <c r="P38" s="29">
        <f>IF('주간 입력'!C539="",0,'주간 입력'!C539)+IF('주간 입력'!C540="",0,'주간 입력'!C540*0.05)+IF('주간 입력'!C541="",0,'주간 입력'!C541)</f>
        <v/>
      </c>
      <c r="Q38" s="29">
        <f>IF(E38="","",J38+K38+L38+M38+N38+O38+P38)</f>
        <v/>
      </c>
      <c r="R38" s="29">
        <f>IF(E38="","",E38-Q38)</f>
        <v/>
      </c>
      <c r="S38" s="29">
        <f>IF(E38="","",F38-I38-I38*0.1)</f>
        <v/>
      </c>
      <c r="T38" s="28">
        <f>'주간 입력'!C542</f>
        <v/>
      </c>
    </row>
    <row r="39">
      <c r="A39" s="30" t="inlineStr">
        <is>
          <t>6월</t>
        </is>
      </c>
      <c r="B39" s="30" t="inlineStr">
        <is>
          <t>소계</t>
        </is>
      </c>
      <c r="C39" s="31" t="n"/>
      <c r="D39" s="31" t="n"/>
      <c r="E39" s="32">
        <f>SUM(E34:E38)</f>
        <v/>
      </c>
      <c r="F39" s="32">
        <f>SUM(F34:F38)</f>
        <v/>
      </c>
      <c r="G39" s="32">
        <f>SUM(G34:G38)</f>
        <v/>
      </c>
      <c r="H39" s="32">
        <f>SUM(H34:H38)</f>
        <v/>
      </c>
      <c r="I39" s="32">
        <f>SUM(I34:I38)</f>
        <v/>
      </c>
      <c r="J39" s="32">
        <f>SUM(J34:J38)</f>
        <v/>
      </c>
      <c r="K39" s="32">
        <f>SUM(K34:K38)</f>
        <v/>
      </c>
      <c r="L39" s="32">
        <f>SUM(L34:L38)</f>
        <v/>
      </c>
      <c r="M39" s="32">
        <f>SUM(M34:M38)</f>
        <v/>
      </c>
      <c r="N39" s="32">
        <f>SUM(N34:N38)</f>
        <v/>
      </c>
      <c r="O39" s="32">
        <f>SUM(O34:O38)</f>
        <v/>
      </c>
      <c r="P39" s="32">
        <f>SUM(P34:P38)</f>
        <v/>
      </c>
      <c r="Q39" s="32">
        <f>SUM(Q34:Q38)</f>
        <v/>
      </c>
      <c r="R39" s="32">
        <f>SUM(R34:R38)</f>
        <v/>
      </c>
      <c r="S39" s="32">
        <f>SUM(S34:S38)</f>
        <v/>
      </c>
      <c r="T39" s="31" t="n"/>
    </row>
    <row r="40">
      <c r="A40" s="27">
        <f>'주간 입력'!C545</f>
        <v/>
      </c>
      <c r="B40" s="27">
        <f>'주간 입력'!C546</f>
        <v/>
      </c>
      <c r="C40" s="28">
        <f>'주간 입력'!C547</f>
        <v/>
      </c>
      <c r="D40" s="28">
        <f>'주간 입력'!C548</f>
        <v/>
      </c>
      <c r="E40" s="29">
        <f>'주간 입력'!C550</f>
        <v/>
      </c>
      <c r="F40" s="29">
        <f>'주간 입력'!C551</f>
        <v/>
      </c>
      <c r="G40" s="29">
        <f>IF(E40="","",E40+F40)</f>
        <v/>
      </c>
      <c r="H40" s="29">
        <f>IF(E40="","",E40*0.15)</f>
        <v/>
      </c>
      <c r="I40" s="29">
        <f>IF(E40="","",IF(F40="",0,F40*0.13))</f>
        <v/>
      </c>
      <c r="J40" s="29">
        <f>IF(E40="","",H40+I40)</f>
        <v/>
      </c>
      <c r="K40" s="29">
        <f>IF(E40="","",J40*0.1)</f>
        <v/>
      </c>
      <c r="L40" s="29">
        <f>IF('주간 입력'!C546=4,3000000,0)</f>
        <v/>
      </c>
      <c r="M40" s="29">
        <f>IF(L40=0,0,L40*0.1)</f>
        <v/>
      </c>
      <c r="N40" s="29">
        <f>IF('주간 입력'!C546=4,55000+15900+50000,0)</f>
        <v/>
      </c>
      <c r="O40" s="29">
        <f>(IF('주간 입력'!C553="",0,'주간 입력'!C553)+IF('주간 입력'!C554="",0,'주간 입력'!C554)+IF('주간 입력'!C555="",0,'주간 입력'!C555))*0.95</f>
        <v/>
      </c>
      <c r="P40" s="29">
        <f>IF('주간 입력'!C557="",0,'주간 입력'!C557)+IF('주간 입력'!C558="",0,'주간 입력'!C558*0.05)+IF('주간 입력'!C559="",0,'주간 입력'!C559)</f>
        <v/>
      </c>
      <c r="Q40" s="29">
        <f>IF(E40="","",J40+K40+L40+M40+N40+O40+P40)</f>
        <v/>
      </c>
      <c r="R40" s="29">
        <f>IF(E40="","",E40-Q40)</f>
        <v/>
      </c>
      <c r="S40" s="29">
        <f>IF(E40="","",F40-I40-I40*0.1)</f>
        <v/>
      </c>
      <c r="T40" s="28">
        <f>'주간 입력'!C560</f>
        <v/>
      </c>
    </row>
    <row r="41">
      <c r="A41" s="27">
        <f>'주간 입력'!C563</f>
        <v/>
      </c>
      <c r="B41" s="27">
        <f>'주간 입력'!C564</f>
        <v/>
      </c>
      <c r="C41" s="28">
        <f>'주간 입력'!C565</f>
        <v/>
      </c>
      <c r="D41" s="28">
        <f>'주간 입력'!C566</f>
        <v/>
      </c>
      <c r="E41" s="29">
        <f>'주간 입력'!C568</f>
        <v/>
      </c>
      <c r="F41" s="29">
        <f>'주간 입력'!C569</f>
        <v/>
      </c>
      <c r="G41" s="29">
        <f>IF(E41="","",E41+F41)</f>
        <v/>
      </c>
      <c r="H41" s="29">
        <f>IF(E41="","",E41*0.15)</f>
        <v/>
      </c>
      <c r="I41" s="29">
        <f>IF(E41="","",IF(F41="",0,F41*0.13))</f>
        <v/>
      </c>
      <c r="J41" s="29">
        <f>IF(E41="","",H41+I41)</f>
        <v/>
      </c>
      <c r="K41" s="29">
        <f>IF(E41="","",J41*0.1)</f>
        <v/>
      </c>
      <c r="L41" s="29">
        <f>IF('주간 입력'!C564=4,3000000,0)</f>
        <v/>
      </c>
      <c r="M41" s="29">
        <f>IF(L41=0,0,L41*0.1)</f>
        <v/>
      </c>
      <c r="N41" s="29">
        <f>IF('주간 입력'!C564=4,55000+15900+50000,0)</f>
        <v/>
      </c>
      <c r="O41" s="29">
        <f>(IF('주간 입력'!C571="",0,'주간 입력'!C571)+IF('주간 입력'!C572="",0,'주간 입력'!C572)+IF('주간 입력'!C573="",0,'주간 입력'!C573))*0.95</f>
        <v/>
      </c>
      <c r="P41" s="29">
        <f>IF('주간 입력'!C575="",0,'주간 입력'!C575)+IF('주간 입력'!C576="",0,'주간 입력'!C576*0.05)+IF('주간 입력'!C577="",0,'주간 입력'!C577)</f>
        <v/>
      </c>
      <c r="Q41" s="29">
        <f>IF(E41="","",J41+K41+L41+M41+N41+O41+P41)</f>
        <v/>
      </c>
      <c r="R41" s="29">
        <f>IF(E41="","",E41-Q41)</f>
        <v/>
      </c>
      <c r="S41" s="29">
        <f>IF(E41="","",F41-I41-I41*0.1)</f>
        <v/>
      </c>
      <c r="T41" s="28">
        <f>'주간 입력'!C578</f>
        <v/>
      </c>
    </row>
    <row r="42">
      <c r="A42" s="27">
        <f>'주간 입력'!C581</f>
        <v/>
      </c>
      <c r="B42" s="27">
        <f>'주간 입력'!C582</f>
        <v/>
      </c>
      <c r="C42" s="28">
        <f>'주간 입력'!C583</f>
        <v/>
      </c>
      <c r="D42" s="28">
        <f>'주간 입력'!C584</f>
        <v/>
      </c>
      <c r="E42" s="29">
        <f>'주간 입력'!C586</f>
        <v/>
      </c>
      <c r="F42" s="29">
        <f>'주간 입력'!C587</f>
        <v/>
      </c>
      <c r="G42" s="29">
        <f>IF(E42="","",E42+F42)</f>
        <v/>
      </c>
      <c r="H42" s="29">
        <f>IF(E42="","",E42*0.15)</f>
        <v/>
      </c>
      <c r="I42" s="29">
        <f>IF(E42="","",IF(F42="",0,F42*0.13))</f>
        <v/>
      </c>
      <c r="J42" s="29">
        <f>IF(E42="","",H42+I42)</f>
        <v/>
      </c>
      <c r="K42" s="29">
        <f>IF(E42="","",J42*0.1)</f>
        <v/>
      </c>
      <c r="L42" s="29">
        <f>IF('주간 입력'!C582=4,3000000,0)</f>
        <v/>
      </c>
      <c r="M42" s="29">
        <f>IF(L42=0,0,L42*0.1)</f>
        <v/>
      </c>
      <c r="N42" s="29">
        <f>IF('주간 입력'!C582=4,55000+15900+50000,0)</f>
        <v/>
      </c>
      <c r="O42" s="29">
        <f>(IF('주간 입력'!C589="",0,'주간 입력'!C589)+IF('주간 입력'!C590="",0,'주간 입력'!C590)+IF('주간 입력'!C591="",0,'주간 입력'!C591))*0.95</f>
        <v/>
      </c>
      <c r="P42" s="29">
        <f>IF('주간 입력'!C593="",0,'주간 입력'!C593)+IF('주간 입력'!C594="",0,'주간 입력'!C594*0.05)+IF('주간 입력'!C595="",0,'주간 입력'!C595)</f>
        <v/>
      </c>
      <c r="Q42" s="29">
        <f>IF(E42="","",J42+K42+L42+M42+N42+O42+P42)</f>
        <v/>
      </c>
      <c r="R42" s="29">
        <f>IF(E42="","",E42-Q42)</f>
        <v/>
      </c>
      <c r="S42" s="29">
        <f>IF(E42="","",F42-I42-I42*0.1)</f>
        <v/>
      </c>
      <c r="T42" s="28">
        <f>'주간 입력'!C596</f>
        <v/>
      </c>
    </row>
    <row r="43">
      <c r="A43" s="27">
        <f>'주간 입력'!C599</f>
        <v/>
      </c>
      <c r="B43" s="27">
        <f>'주간 입력'!C600</f>
        <v/>
      </c>
      <c r="C43" s="28">
        <f>'주간 입력'!C601</f>
        <v/>
      </c>
      <c r="D43" s="28">
        <f>'주간 입력'!C602</f>
        <v/>
      </c>
      <c r="E43" s="29">
        <f>'주간 입력'!C604</f>
        <v/>
      </c>
      <c r="F43" s="29">
        <f>'주간 입력'!C605</f>
        <v/>
      </c>
      <c r="G43" s="29">
        <f>IF(E43="","",E43+F43)</f>
        <v/>
      </c>
      <c r="H43" s="29">
        <f>IF(E43="","",E43*0.15)</f>
        <v/>
      </c>
      <c r="I43" s="29">
        <f>IF(E43="","",IF(F43="",0,F43*0.13))</f>
        <v/>
      </c>
      <c r="J43" s="29">
        <f>IF(E43="","",H43+I43)</f>
        <v/>
      </c>
      <c r="K43" s="29">
        <f>IF(E43="","",J43*0.1)</f>
        <v/>
      </c>
      <c r="L43" s="29">
        <f>IF('주간 입력'!C600=4,3000000,0)</f>
        <v/>
      </c>
      <c r="M43" s="29">
        <f>IF(L43=0,0,L43*0.1)</f>
        <v/>
      </c>
      <c r="N43" s="29">
        <f>IF('주간 입력'!C600=4,55000+15900+50000,0)</f>
        <v/>
      </c>
      <c r="O43" s="29">
        <f>(IF('주간 입력'!C607="",0,'주간 입력'!C607)+IF('주간 입력'!C608="",0,'주간 입력'!C608)+IF('주간 입력'!C609="",0,'주간 입력'!C609))*0.95</f>
        <v/>
      </c>
      <c r="P43" s="29">
        <f>IF('주간 입력'!C611="",0,'주간 입력'!C611)+IF('주간 입력'!C612="",0,'주간 입력'!C612*0.05)+IF('주간 입력'!C613="",0,'주간 입력'!C613)</f>
        <v/>
      </c>
      <c r="Q43" s="29">
        <f>IF(E43="","",J43+K43+L43+M43+N43+O43+P43)</f>
        <v/>
      </c>
      <c r="R43" s="29">
        <f>IF(E43="","",E43-Q43)</f>
        <v/>
      </c>
      <c r="S43" s="29">
        <f>IF(E43="","",F43-I43-I43*0.1)</f>
        <v/>
      </c>
      <c r="T43" s="28">
        <f>'주간 입력'!C614</f>
        <v/>
      </c>
    </row>
    <row r="44">
      <c r="A44" s="27">
        <f>'주간 입력'!C617</f>
        <v/>
      </c>
      <c r="B44" s="27">
        <f>'주간 입력'!C618</f>
        <v/>
      </c>
      <c r="C44" s="28">
        <f>'주간 입력'!C619</f>
        <v/>
      </c>
      <c r="D44" s="28">
        <f>'주간 입력'!C620</f>
        <v/>
      </c>
      <c r="E44" s="29">
        <f>'주간 입력'!C622</f>
        <v/>
      </c>
      <c r="F44" s="29">
        <f>'주간 입력'!C623</f>
        <v/>
      </c>
      <c r="G44" s="29">
        <f>IF(E44="","",E44+F44)</f>
        <v/>
      </c>
      <c r="H44" s="29">
        <f>IF(E44="","",E44*0.15)</f>
        <v/>
      </c>
      <c r="I44" s="29">
        <f>IF(E44="","",IF(F44="",0,F44*0.13))</f>
        <v/>
      </c>
      <c r="J44" s="29">
        <f>IF(E44="","",H44+I44)</f>
        <v/>
      </c>
      <c r="K44" s="29">
        <f>IF(E44="","",J44*0.1)</f>
        <v/>
      </c>
      <c r="L44" s="29">
        <f>IF('주간 입력'!C618=4,3000000,0)</f>
        <v/>
      </c>
      <c r="M44" s="29">
        <f>IF(L44=0,0,L44*0.1)</f>
        <v/>
      </c>
      <c r="N44" s="29">
        <f>IF('주간 입력'!C618=4,55000+15900+50000,0)</f>
        <v/>
      </c>
      <c r="O44" s="29">
        <f>(IF('주간 입력'!C625="",0,'주간 입력'!C625)+IF('주간 입력'!C626="",0,'주간 입력'!C626)+IF('주간 입력'!C627="",0,'주간 입력'!C627))*0.95</f>
        <v/>
      </c>
      <c r="P44" s="29">
        <f>IF('주간 입력'!C629="",0,'주간 입력'!C629)+IF('주간 입력'!C630="",0,'주간 입력'!C630*0.05)+IF('주간 입력'!C631="",0,'주간 입력'!C631)</f>
        <v/>
      </c>
      <c r="Q44" s="29">
        <f>IF(E44="","",J44+K44+L44+M44+N44+O44+P44)</f>
        <v/>
      </c>
      <c r="R44" s="29">
        <f>IF(E44="","",E44-Q44)</f>
        <v/>
      </c>
      <c r="S44" s="29">
        <f>IF(E44="","",F44-I44-I44*0.1)</f>
        <v/>
      </c>
      <c r="T44" s="28">
        <f>'주간 입력'!C632</f>
        <v/>
      </c>
    </row>
    <row r="45">
      <c r="A45" s="30" t="inlineStr">
        <is>
          <t>7월</t>
        </is>
      </c>
      <c r="B45" s="30" t="inlineStr">
        <is>
          <t>소계</t>
        </is>
      </c>
      <c r="C45" s="31" t="n"/>
      <c r="D45" s="31" t="n"/>
      <c r="E45" s="32">
        <f>SUM(E40:E44)</f>
        <v/>
      </c>
      <c r="F45" s="32">
        <f>SUM(F40:F44)</f>
        <v/>
      </c>
      <c r="G45" s="32">
        <f>SUM(G40:G44)</f>
        <v/>
      </c>
      <c r="H45" s="32">
        <f>SUM(H40:H44)</f>
        <v/>
      </c>
      <c r="I45" s="32">
        <f>SUM(I40:I44)</f>
        <v/>
      </c>
      <c r="J45" s="32">
        <f>SUM(J40:J44)</f>
        <v/>
      </c>
      <c r="K45" s="32">
        <f>SUM(K40:K44)</f>
        <v/>
      </c>
      <c r="L45" s="32">
        <f>SUM(L40:L44)</f>
        <v/>
      </c>
      <c r="M45" s="32">
        <f>SUM(M40:M44)</f>
        <v/>
      </c>
      <c r="N45" s="32">
        <f>SUM(N40:N44)</f>
        <v/>
      </c>
      <c r="O45" s="32">
        <f>SUM(O40:O44)</f>
        <v/>
      </c>
      <c r="P45" s="32">
        <f>SUM(P40:P44)</f>
        <v/>
      </c>
      <c r="Q45" s="32">
        <f>SUM(Q40:Q44)</f>
        <v/>
      </c>
      <c r="R45" s="32">
        <f>SUM(R40:R44)</f>
        <v/>
      </c>
      <c r="S45" s="32">
        <f>SUM(S40:S44)</f>
        <v/>
      </c>
      <c r="T45" s="31" t="n"/>
    </row>
    <row r="46">
      <c r="A46" s="27">
        <f>'주간 입력'!C635</f>
        <v/>
      </c>
      <c r="B46" s="27">
        <f>'주간 입력'!C636</f>
        <v/>
      </c>
      <c r="C46" s="28">
        <f>'주간 입력'!C637</f>
        <v/>
      </c>
      <c r="D46" s="28">
        <f>'주간 입력'!C638</f>
        <v/>
      </c>
      <c r="E46" s="29">
        <f>'주간 입력'!C640</f>
        <v/>
      </c>
      <c r="F46" s="29">
        <f>'주간 입력'!C641</f>
        <v/>
      </c>
      <c r="G46" s="29">
        <f>IF(E46="","",E46+F46)</f>
        <v/>
      </c>
      <c r="H46" s="29">
        <f>IF(E46="","",E46*0.15)</f>
        <v/>
      </c>
      <c r="I46" s="29">
        <f>IF(E46="","",IF(F46="",0,F46*0.13))</f>
        <v/>
      </c>
      <c r="J46" s="29">
        <f>IF(E46="","",H46+I46)</f>
        <v/>
      </c>
      <c r="K46" s="29">
        <f>IF(E46="","",J46*0.1)</f>
        <v/>
      </c>
      <c r="L46" s="29">
        <f>IF('주간 입력'!C636=4,3000000,0)</f>
        <v/>
      </c>
      <c r="M46" s="29">
        <f>IF(L46=0,0,L46*0.1)</f>
        <v/>
      </c>
      <c r="N46" s="29">
        <f>IF('주간 입력'!C636=4,55000+15900+50000,0)</f>
        <v/>
      </c>
      <c r="O46" s="29">
        <f>(IF('주간 입력'!C643="",0,'주간 입력'!C643)+IF('주간 입력'!C644="",0,'주간 입력'!C644)+IF('주간 입력'!C645="",0,'주간 입력'!C645))*0.95</f>
        <v/>
      </c>
      <c r="P46" s="29">
        <f>IF('주간 입력'!C647="",0,'주간 입력'!C647)+IF('주간 입력'!C648="",0,'주간 입력'!C648*0.05)+IF('주간 입력'!C649="",0,'주간 입력'!C649)</f>
        <v/>
      </c>
      <c r="Q46" s="29">
        <f>IF(E46="","",J46+K46+L46+M46+N46+O46+P46)</f>
        <v/>
      </c>
      <c r="R46" s="29">
        <f>IF(E46="","",E46-Q46)</f>
        <v/>
      </c>
      <c r="S46" s="29">
        <f>IF(E46="","",F46-I46-I46*0.1)</f>
        <v/>
      </c>
      <c r="T46" s="28">
        <f>'주간 입력'!C650</f>
        <v/>
      </c>
    </row>
    <row r="47">
      <c r="A47" s="27">
        <f>'주간 입력'!C653</f>
        <v/>
      </c>
      <c r="B47" s="27">
        <f>'주간 입력'!C654</f>
        <v/>
      </c>
      <c r="C47" s="28">
        <f>'주간 입력'!C655</f>
        <v/>
      </c>
      <c r="D47" s="28">
        <f>'주간 입력'!C656</f>
        <v/>
      </c>
      <c r="E47" s="29">
        <f>'주간 입력'!C658</f>
        <v/>
      </c>
      <c r="F47" s="29">
        <f>'주간 입력'!C659</f>
        <v/>
      </c>
      <c r="G47" s="29">
        <f>IF(E47="","",E47+F47)</f>
        <v/>
      </c>
      <c r="H47" s="29">
        <f>IF(E47="","",E47*0.15)</f>
        <v/>
      </c>
      <c r="I47" s="29">
        <f>IF(E47="","",IF(F47="",0,F47*0.13))</f>
        <v/>
      </c>
      <c r="J47" s="29">
        <f>IF(E47="","",H47+I47)</f>
        <v/>
      </c>
      <c r="K47" s="29">
        <f>IF(E47="","",J47*0.1)</f>
        <v/>
      </c>
      <c r="L47" s="29">
        <f>IF('주간 입력'!C654=4,3000000,0)</f>
        <v/>
      </c>
      <c r="M47" s="29">
        <f>IF(L47=0,0,L47*0.1)</f>
        <v/>
      </c>
      <c r="N47" s="29">
        <f>IF('주간 입력'!C654=4,55000+15900+50000,0)</f>
        <v/>
      </c>
      <c r="O47" s="29">
        <f>(IF('주간 입력'!C661="",0,'주간 입력'!C661)+IF('주간 입력'!C662="",0,'주간 입력'!C662)+IF('주간 입력'!C663="",0,'주간 입력'!C663))*0.95</f>
        <v/>
      </c>
      <c r="P47" s="29">
        <f>IF('주간 입력'!C665="",0,'주간 입력'!C665)+IF('주간 입력'!C666="",0,'주간 입력'!C666*0.05)+IF('주간 입력'!C667="",0,'주간 입력'!C667)</f>
        <v/>
      </c>
      <c r="Q47" s="29">
        <f>IF(E47="","",J47+K47+L47+M47+N47+O47+P47)</f>
        <v/>
      </c>
      <c r="R47" s="29">
        <f>IF(E47="","",E47-Q47)</f>
        <v/>
      </c>
      <c r="S47" s="29">
        <f>IF(E47="","",F47-I47-I47*0.1)</f>
        <v/>
      </c>
      <c r="T47" s="28">
        <f>'주간 입력'!C668</f>
        <v/>
      </c>
    </row>
    <row r="48">
      <c r="A48" s="27">
        <f>'주간 입력'!C671</f>
        <v/>
      </c>
      <c r="B48" s="27">
        <f>'주간 입력'!C672</f>
        <v/>
      </c>
      <c r="C48" s="28">
        <f>'주간 입력'!C673</f>
        <v/>
      </c>
      <c r="D48" s="28">
        <f>'주간 입력'!C674</f>
        <v/>
      </c>
      <c r="E48" s="29">
        <f>'주간 입력'!C676</f>
        <v/>
      </c>
      <c r="F48" s="29">
        <f>'주간 입력'!C677</f>
        <v/>
      </c>
      <c r="G48" s="29">
        <f>IF(E48="","",E48+F48)</f>
        <v/>
      </c>
      <c r="H48" s="29">
        <f>IF(E48="","",E48*0.15)</f>
        <v/>
      </c>
      <c r="I48" s="29">
        <f>IF(E48="","",IF(F48="",0,F48*0.13))</f>
        <v/>
      </c>
      <c r="J48" s="29">
        <f>IF(E48="","",H48+I48)</f>
        <v/>
      </c>
      <c r="K48" s="29">
        <f>IF(E48="","",J48*0.1)</f>
        <v/>
      </c>
      <c r="L48" s="29">
        <f>IF('주간 입력'!C672=4,3000000,0)</f>
        <v/>
      </c>
      <c r="M48" s="29">
        <f>IF(L48=0,0,L48*0.1)</f>
        <v/>
      </c>
      <c r="N48" s="29">
        <f>IF('주간 입력'!C672=4,55000+15900+50000,0)</f>
        <v/>
      </c>
      <c r="O48" s="29">
        <f>(IF('주간 입력'!C679="",0,'주간 입력'!C679)+IF('주간 입력'!C680="",0,'주간 입력'!C680)+IF('주간 입력'!C681="",0,'주간 입력'!C681))*0.95</f>
        <v/>
      </c>
      <c r="P48" s="29">
        <f>IF('주간 입력'!C683="",0,'주간 입력'!C683)+IF('주간 입력'!C684="",0,'주간 입력'!C684*0.05)+IF('주간 입력'!C685="",0,'주간 입력'!C685)</f>
        <v/>
      </c>
      <c r="Q48" s="29">
        <f>IF(E48="","",J48+K48+L48+M48+N48+O48+P48)</f>
        <v/>
      </c>
      <c r="R48" s="29">
        <f>IF(E48="","",E48-Q48)</f>
        <v/>
      </c>
      <c r="S48" s="29">
        <f>IF(E48="","",F48-I48-I48*0.1)</f>
        <v/>
      </c>
      <c r="T48" s="28">
        <f>'주간 입력'!C686</f>
        <v/>
      </c>
    </row>
    <row r="49">
      <c r="A49" s="27">
        <f>'주간 입력'!C689</f>
        <v/>
      </c>
      <c r="B49" s="27">
        <f>'주간 입력'!C690</f>
        <v/>
      </c>
      <c r="C49" s="28">
        <f>'주간 입력'!C691</f>
        <v/>
      </c>
      <c r="D49" s="28">
        <f>'주간 입력'!C692</f>
        <v/>
      </c>
      <c r="E49" s="29">
        <f>'주간 입력'!C694</f>
        <v/>
      </c>
      <c r="F49" s="29">
        <f>'주간 입력'!C695</f>
        <v/>
      </c>
      <c r="G49" s="29">
        <f>IF(E49="","",E49+F49)</f>
        <v/>
      </c>
      <c r="H49" s="29">
        <f>IF(E49="","",E49*0.15)</f>
        <v/>
      </c>
      <c r="I49" s="29">
        <f>IF(E49="","",IF(F49="",0,F49*0.13))</f>
        <v/>
      </c>
      <c r="J49" s="29">
        <f>IF(E49="","",H49+I49)</f>
        <v/>
      </c>
      <c r="K49" s="29">
        <f>IF(E49="","",J49*0.1)</f>
        <v/>
      </c>
      <c r="L49" s="29">
        <f>IF('주간 입력'!C690=4,3000000,0)</f>
        <v/>
      </c>
      <c r="M49" s="29">
        <f>IF(L49=0,0,L49*0.1)</f>
        <v/>
      </c>
      <c r="N49" s="29">
        <f>IF('주간 입력'!C690=4,55000+15900+50000,0)</f>
        <v/>
      </c>
      <c r="O49" s="29">
        <f>(IF('주간 입력'!C697="",0,'주간 입력'!C697)+IF('주간 입력'!C698="",0,'주간 입력'!C698)+IF('주간 입력'!C699="",0,'주간 입력'!C699))*0.95</f>
        <v/>
      </c>
      <c r="P49" s="29">
        <f>IF('주간 입력'!C701="",0,'주간 입력'!C701)+IF('주간 입력'!C702="",0,'주간 입력'!C702*0.05)+IF('주간 입력'!C703="",0,'주간 입력'!C703)</f>
        <v/>
      </c>
      <c r="Q49" s="29">
        <f>IF(E49="","",J49+K49+L49+M49+N49+O49+P49)</f>
        <v/>
      </c>
      <c r="R49" s="29">
        <f>IF(E49="","",E49-Q49)</f>
        <v/>
      </c>
      <c r="S49" s="29">
        <f>IF(E49="","",F49-I49-I49*0.1)</f>
        <v/>
      </c>
      <c r="T49" s="28">
        <f>'주간 입력'!C704</f>
        <v/>
      </c>
    </row>
    <row r="50">
      <c r="A50" s="27">
        <f>'주간 입력'!C707</f>
        <v/>
      </c>
      <c r="B50" s="27">
        <f>'주간 입력'!C708</f>
        <v/>
      </c>
      <c r="C50" s="28">
        <f>'주간 입력'!C709</f>
        <v/>
      </c>
      <c r="D50" s="28">
        <f>'주간 입력'!C710</f>
        <v/>
      </c>
      <c r="E50" s="29">
        <f>'주간 입력'!C712</f>
        <v/>
      </c>
      <c r="F50" s="29">
        <f>'주간 입력'!C713</f>
        <v/>
      </c>
      <c r="G50" s="29">
        <f>IF(E50="","",E50+F50)</f>
        <v/>
      </c>
      <c r="H50" s="29">
        <f>IF(E50="","",E50*0.15)</f>
        <v/>
      </c>
      <c r="I50" s="29">
        <f>IF(E50="","",IF(F50="",0,F50*0.13))</f>
        <v/>
      </c>
      <c r="J50" s="29">
        <f>IF(E50="","",H50+I50)</f>
        <v/>
      </c>
      <c r="K50" s="29">
        <f>IF(E50="","",J50*0.1)</f>
        <v/>
      </c>
      <c r="L50" s="29">
        <f>IF('주간 입력'!C708=4,3000000,0)</f>
        <v/>
      </c>
      <c r="M50" s="29">
        <f>IF(L50=0,0,L50*0.1)</f>
        <v/>
      </c>
      <c r="N50" s="29">
        <f>IF('주간 입력'!C708=4,55000+15900+50000,0)</f>
        <v/>
      </c>
      <c r="O50" s="29">
        <f>(IF('주간 입력'!C715="",0,'주간 입력'!C715)+IF('주간 입력'!C716="",0,'주간 입력'!C716)+IF('주간 입력'!C717="",0,'주간 입력'!C717))*0.95</f>
        <v/>
      </c>
      <c r="P50" s="29">
        <f>IF('주간 입력'!C719="",0,'주간 입력'!C719)+IF('주간 입력'!C720="",0,'주간 입력'!C720*0.05)+IF('주간 입력'!C721="",0,'주간 입력'!C721)</f>
        <v/>
      </c>
      <c r="Q50" s="29">
        <f>IF(E50="","",J50+K50+L50+M50+N50+O50+P50)</f>
        <v/>
      </c>
      <c r="R50" s="29">
        <f>IF(E50="","",E50-Q50)</f>
        <v/>
      </c>
      <c r="S50" s="29">
        <f>IF(E50="","",F50-I50-I50*0.1)</f>
        <v/>
      </c>
      <c r="T50" s="28">
        <f>'주간 입력'!C722</f>
        <v/>
      </c>
    </row>
    <row r="51">
      <c r="A51" s="30" t="inlineStr">
        <is>
          <t>8월</t>
        </is>
      </c>
      <c r="B51" s="30" t="inlineStr">
        <is>
          <t>소계</t>
        </is>
      </c>
      <c r="C51" s="31" t="n"/>
      <c r="D51" s="31" t="n"/>
      <c r="E51" s="32">
        <f>SUM(E46:E50)</f>
        <v/>
      </c>
      <c r="F51" s="32">
        <f>SUM(F46:F50)</f>
        <v/>
      </c>
      <c r="G51" s="32">
        <f>SUM(G46:G50)</f>
        <v/>
      </c>
      <c r="H51" s="32">
        <f>SUM(H46:H50)</f>
        <v/>
      </c>
      <c r="I51" s="32">
        <f>SUM(I46:I50)</f>
        <v/>
      </c>
      <c r="J51" s="32">
        <f>SUM(J46:J50)</f>
        <v/>
      </c>
      <c r="K51" s="32">
        <f>SUM(K46:K50)</f>
        <v/>
      </c>
      <c r="L51" s="32">
        <f>SUM(L46:L50)</f>
        <v/>
      </c>
      <c r="M51" s="32">
        <f>SUM(M46:M50)</f>
        <v/>
      </c>
      <c r="N51" s="32">
        <f>SUM(N46:N50)</f>
        <v/>
      </c>
      <c r="O51" s="32">
        <f>SUM(O46:O50)</f>
        <v/>
      </c>
      <c r="P51" s="32">
        <f>SUM(P46:P50)</f>
        <v/>
      </c>
      <c r="Q51" s="32">
        <f>SUM(Q46:Q50)</f>
        <v/>
      </c>
      <c r="R51" s="32">
        <f>SUM(R46:R50)</f>
        <v/>
      </c>
      <c r="S51" s="32">
        <f>SUM(S46:S50)</f>
        <v/>
      </c>
      <c r="T51" s="31" t="n"/>
    </row>
    <row r="52">
      <c r="A52" s="27">
        <f>'주간 입력'!C725</f>
        <v/>
      </c>
      <c r="B52" s="27">
        <f>'주간 입력'!C726</f>
        <v/>
      </c>
      <c r="C52" s="28">
        <f>'주간 입력'!C727</f>
        <v/>
      </c>
      <c r="D52" s="28">
        <f>'주간 입력'!C728</f>
        <v/>
      </c>
      <c r="E52" s="29">
        <f>'주간 입력'!C730</f>
        <v/>
      </c>
      <c r="F52" s="29">
        <f>'주간 입력'!C731</f>
        <v/>
      </c>
      <c r="G52" s="29">
        <f>IF(E52="","",E52+F52)</f>
        <v/>
      </c>
      <c r="H52" s="29">
        <f>IF(E52="","",E52*0.15)</f>
        <v/>
      </c>
      <c r="I52" s="29">
        <f>IF(E52="","",IF(F52="",0,F52*0.13))</f>
        <v/>
      </c>
      <c r="J52" s="29">
        <f>IF(E52="","",H52+I52)</f>
        <v/>
      </c>
      <c r="K52" s="29">
        <f>IF(E52="","",J52*0.1)</f>
        <v/>
      </c>
      <c r="L52" s="29">
        <f>IF('주간 입력'!C726=4,3000000,0)</f>
        <v/>
      </c>
      <c r="M52" s="29">
        <f>IF(L52=0,0,L52*0.1)</f>
        <v/>
      </c>
      <c r="N52" s="29">
        <f>IF('주간 입력'!C726=4,55000+15900+50000,0)</f>
        <v/>
      </c>
      <c r="O52" s="29">
        <f>(IF('주간 입력'!C733="",0,'주간 입력'!C733)+IF('주간 입력'!C734="",0,'주간 입력'!C734)+IF('주간 입력'!C735="",0,'주간 입력'!C735))*0.95</f>
        <v/>
      </c>
      <c r="P52" s="29">
        <f>IF('주간 입력'!C737="",0,'주간 입력'!C737)+IF('주간 입력'!C738="",0,'주간 입력'!C738*0.05)+IF('주간 입력'!C739="",0,'주간 입력'!C739)</f>
        <v/>
      </c>
      <c r="Q52" s="29">
        <f>IF(E52="","",J52+K52+L52+M52+N52+O52+P52)</f>
        <v/>
      </c>
      <c r="R52" s="29">
        <f>IF(E52="","",E52-Q52)</f>
        <v/>
      </c>
      <c r="S52" s="29">
        <f>IF(E52="","",F52-I52-I52*0.1)</f>
        <v/>
      </c>
      <c r="T52" s="28">
        <f>'주간 입력'!C740</f>
        <v/>
      </c>
    </row>
    <row r="53">
      <c r="A53" s="27">
        <f>'주간 입력'!C743</f>
        <v/>
      </c>
      <c r="B53" s="27">
        <f>'주간 입력'!C744</f>
        <v/>
      </c>
      <c r="C53" s="28">
        <f>'주간 입력'!C745</f>
        <v/>
      </c>
      <c r="D53" s="28">
        <f>'주간 입력'!C746</f>
        <v/>
      </c>
      <c r="E53" s="29">
        <f>'주간 입력'!C748</f>
        <v/>
      </c>
      <c r="F53" s="29">
        <f>'주간 입력'!C749</f>
        <v/>
      </c>
      <c r="G53" s="29">
        <f>IF(E53="","",E53+F53)</f>
        <v/>
      </c>
      <c r="H53" s="29">
        <f>IF(E53="","",E53*0.15)</f>
        <v/>
      </c>
      <c r="I53" s="29">
        <f>IF(E53="","",IF(F53="",0,F53*0.13))</f>
        <v/>
      </c>
      <c r="J53" s="29">
        <f>IF(E53="","",H53+I53)</f>
        <v/>
      </c>
      <c r="K53" s="29">
        <f>IF(E53="","",J53*0.1)</f>
        <v/>
      </c>
      <c r="L53" s="29">
        <f>IF('주간 입력'!C744=4,3000000,0)</f>
        <v/>
      </c>
      <c r="M53" s="29">
        <f>IF(L53=0,0,L53*0.1)</f>
        <v/>
      </c>
      <c r="N53" s="29">
        <f>IF('주간 입력'!C744=4,55000+15900+50000,0)</f>
        <v/>
      </c>
      <c r="O53" s="29">
        <f>(IF('주간 입력'!C751="",0,'주간 입력'!C751)+IF('주간 입력'!C752="",0,'주간 입력'!C752)+IF('주간 입력'!C753="",0,'주간 입력'!C753))*0.95</f>
        <v/>
      </c>
      <c r="P53" s="29">
        <f>IF('주간 입력'!C755="",0,'주간 입력'!C755)+IF('주간 입력'!C756="",0,'주간 입력'!C756*0.05)+IF('주간 입력'!C757="",0,'주간 입력'!C757)</f>
        <v/>
      </c>
      <c r="Q53" s="29">
        <f>IF(E53="","",J53+K53+L53+M53+N53+O53+P53)</f>
        <v/>
      </c>
      <c r="R53" s="29">
        <f>IF(E53="","",E53-Q53)</f>
        <v/>
      </c>
      <c r="S53" s="29">
        <f>IF(E53="","",F53-I53-I53*0.1)</f>
        <v/>
      </c>
      <c r="T53" s="28">
        <f>'주간 입력'!C758</f>
        <v/>
      </c>
    </row>
    <row r="54">
      <c r="A54" s="27">
        <f>'주간 입력'!C761</f>
        <v/>
      </c>
      <c r="B54" s="27">
        <f>'주간 입력'!C762</f>
        <v/>
      </c>
      <c r="C54" s="28">
        <f>'주간 입력'!C763</f>
        <v/>
      </c>
      <c r="D54" s="28">
        <f>'주간 입력'!C764</f>
        <v/>
      </c>
      <c r="E54" s="29">
        <f>'주간 입력'!C766</f>
        <v/>
      </c>
      <c r="F54" s="29">
        <f>'주간 입력'!C767</f>
        <v/>
      </c>
      <c r="G54" s="29">
        <f>IF(E54="","",E54+F54)</f>
        <v/>
      </c>
      <c r="H54" s="29">
        <f>IF(E54="","",E54*0.15)</f>
        <v/>
      </c>
      <c r="I54" s="29">
        <f>IF(E54="","",IF(F54="",0,F54*0.13))</f>
        <v/>
      </c>
      <c r="J54" s="29">
        <f>IF(E54="","",H54+I54)</f>
        <v/>
      </c>
      <c r="K54" s="29">
        <f>IF(E54="","",J54*0.1)</f>
        <v/>
      </c>
      <c r="L54" s="29">
        <f>IF('주간 입력'!C762=4,3000000,0)</f>
        <v/>
      </c>
      <c r="M54" s="29">
        <f>IF(L54=0,0,L54*0.1)</f>
        <v/>
      </c>
      <c r="N54" s="29">
        <f>IF('주간 입력'!C762=4,55000+15900+50000,0)</f>
        <v/>
      </c>
      <c r="O54" s="29">
        <f>(IF('주간 입력'!C769="",0,'주간 입력'!C769)+IF('주간 입력'!C770="",0,'주간 입력'!C770)+IF('주간 입력'!C771="",0,'주간 입력'!C771))*0.95</f>
        <v/>
      </c>
      <c r="P54" s="29">
        <f>IF('주간 입력'!C773="",0,'주간 입력'!C773)+IF('주간 입력'!C774="",0,'주간 입력'!C774*0.05)+IF('주간 입력'!C775="",0,'주간 입력'!C775)</f>
        <v/>
      </c>
      <c r="Q54" s="29">
        <f>IF(E54="","",J54+K54+L54+M54+N54+O54+P54)</f>
        <v/>
      </c>
      <c r="R54" s="29">
        <f>IF(E54="","",E54-Q54)</f>
        <v/>
      </c>
      <c r="S54" s="29">
        <f>IF(E54="","",F54-I54-I54*0.1)</f>
        <v/>
      </c>
      <c r="T54" s="28">
        <f>'주간 입력'!C776</f>
        <v/>
      </c>
    </row>
    <row r="55">
      <c r="A55" s="27">
        <f>'주간 입력'!C779</f>
        <v/>
      </c>
      <c r="B55" s="27">
        <f>'주간 입력'!C780</f>
        <v/>
      </c>
      <c r="C55" s="28">
        <f>'주간 입력'!C781</f>
        <v/>
      </c>
      <c r="D55" s="28">
        <f>'주간 입력'!C782</f>
        <v/>
      </c>
      <c r="E55" s="29">
        <f>'주간 입력'!C784</f>
        <v/>
      </c>
      <c r="F55" s="29">
        <f>'주간 입력'!C785</f>
        <v/>
      </c>
      <c r="G55" s="29">
        <f>IF(E55="","",E55+F55)</f>
        <v/>
      </c>
      <c r="H55" s="29">
        <f>IF(E55="","",E55*0.15)</f>
        <v/>
      </c>
      <c r="I55" s="29">
        <f>IF(E55="","",IF(F55="",0,F55*0.13))</f>
        <v/>
      </c>
      <c r="J55" s="29">
        <f>IF(E55="","",H55+I55)</f>
        <v/>
      </c>
      <c r="K55" s="29">
        <f>IF(E55="","",J55*0.1)</f>
        <v/>
      </c>
      <c r="L55" s="29">
        <f>IF('주간 입력'!C780=4,3000000,0)</f>
        <v/>
      </c>
      <c r="M55" s="29">
        <f>IF(L55=0,0,L55*0.1)</f>
        <v/>
      </c>
      <c r="N55" s="29">
        <f>IF('주간 입력'!C780=4,55000+15900+50000,0)</f>
        <v/>
      </c>
      <c r="O55" s="29">
        <f>(IF('주간 입력'!C787="",0,'주간 입력'!C787)+IF('주간 입력'!C788="",0,'주간 입력'!C788)+IF('주간 입력'!C789="",0,'주간 입력'!C789))*0.95</f>
        <v/>
      </c>
      <c r="P55" s="29">
        <f>IF('주간 입력'!C791="",0,'주간 입력'!C791)+IF('주간 입력'!C792="",0,'주간 입력'!C792*0.05)+IF('주간 입력'!C793="",0,'주간 입력'!C793)</f>
        <v/>
      </c>
      <c r="Q55" s="29">
        <f>IF(E55="","",J55+K55+L55+M55+N55+O55+P55)</f>
        <v/>
      </c>
      <c r="R55" s="29">
        <f>IF(E55="","",E55-Q55)</f>
        <v/>
      </c>
      <c r="S55" s="29">
        <f>IF(E55="","",F55-I55-I55*0.1)</f>
        <v/>
      </c>
      <c r="T55" s="28">
        <f>'주간 입력'!C794</f>
        <v/>
      </c>
    </row>
    <row r="56">
      <c r="A56" s="27">
        <f>'주간 입력'!C797</f>
        <v/>
      </c>
      <c r="B56" s="27">
        <f>'주간 입력'!C798</f>
        <v/>
      </c>
      <c r="C56" s="28">
        <f>'주간 입력'!C799</f>
        <v/>
      </c>
      <c r="D56" s="28">
        <f>'주간 입력'!C800</f>
        <v/>
      </c>
      <c r="E56" s="29">
        <f>'주간 입력'!C802</f>
        <v/>
      </c>
      <c r="F56" s="29">
        <f>'주간 입력'!C803</f>
        <v/>
      </c>
      <c r="G56" s="29">
        <f>IF(E56="","",E56+F56)</f>
        <v/>
      </c>
      <c r="H56" s="29">
        <f>IF(E56="","",E56*0.15)</f>
        <v/>
      </c>
      <c r="I56" s="29">
        <f>IF(E56="","",IF(F56="",0,F56*0.13))</f>
        <v/>
      </c>
      <c r="J56" s="29">
        <f>IF(E56="","",H56+I56)</f>
        <v/>
      </c>
      <c r="K56" s="29">
        <f>IF(E56="","",J56*0.1)</f>
        <v/>
      </c>
      <c r="L56" s="29">
        <f>IF('주간 입력'!C798=4,3000000,0)</f>
        <v/>
      </c>
      <c r="M56" s="29">
        <f>IF(L56=0,0,L56*0.1)</f>
        <v/>
      </c>
      <c r="N56" s="29">
        <f>IF('주간 입력'!C798=4,55000+15900+50000,0)</f>
        <v/>
      </c>
      <c r="O56" s="29">
        <f>(IF('주간 입력'!C805="",0,'주간 입력'!C805)+IF('주간 입력'!C806="",0,'주간 입력'!C806)+IF('주간 입력'!C807="",0,'주간 입력'!C807))*0.95</f>
        <v/>
      </c>
      <c r="P56" s="29">
        <f>IF('주간 입력'!C809="",0,'주간 입력'!C809)+IF('주간 입력'!C810="",0,'주간 입력'!C810*0.05)+IF('주간 입력'!C811="",0,'주간 입력'!C811)</f>
        <v/>
      </c>
      <c r="Q56" s="29">
        <f>IF(E56="","",J56+K56+L56+M56+N56+O56+P56)</f>
        <v/>
      </c>
      <c r="R56" s="29">
        <f>IF(E56="","",E56-Q56)</f>
        <v/>
      </c>
      <c r="S56" s="29">
        <f>IF(E56="","",F56-I56-I56*0.1)</f>
        <v/>
      </c>
      <c r="T56" s="28">
        <f>'주간 입력'!C812</f>
        <v/>
      </c>
    </row>
    <row r="57">
      <c r="A57" s="30" t="inlineStr">
        <is>
          <t>9월</t>
        </is>
      </c>
      <c r="B57" s="30" t="inlineStr">
        <is>
          <t>소계</t>
        </is>
      </c>
      <c r="C57" s="31" t="n"/>
      <c r="D57" s="31" t="n"/>
      <c r="E57" s="32">
        <f>SUM(E52:E56)</f>
        <v/>
      </c>
      <c r="F57" s="32">
        <f>SUM(F52:F56)</f>
        <v/>
      </c>
      <c r="G57" s="32">
        <f>SUM(G52:G56)</f>
        <v/>
      </c>
      <c r="H57" s="32">
        <f>SUM(H52:H56)</f>
        <v/>
      </c>
      <c r="I57" s="32">
        <f>SUM(I52:I56)</f>
        <v/>
      </c>
      <c r="J57" s="32">
        <f>SUM(J52:J56)</f>
        <v/>
      </c>
      <c r="K57" s="32">
        <f>SUM(K52:K56)</f>
        <v/>
      </c>
      <c r="L57" s="32">
        <f>SUM(L52:L56)</f>
        <v/>
      </c>
      <c r="M57" s="32">
        <f>SUM(M52:M56)</f>
        <v/>
      </c>
      <c r="N57" s="32">
        <f>SUM(N52:N56)</f>
        <v/>
      </c>
      <c r="O57" s="32">
        <f>SUM(O52:O56)</f>
        <v/>
      </c>
      <c r="P57" s="32">
        <f>SUM(P52:P56)</f>
        <v/>
      </c>
      <c r="Q57" s="32">
        <f>SUM(Q52:Q56)</f>
        <v/>
      </c>
      <c r="R57" s="32">
        <f>SUM(R52:R56)</f>
        <v/>
      </c>
      <c r="S57" s="32">
        <f>SUM(S52:S56)</f>
        <v/>
      </c>
      <c r="T57" s="31" t="n"/>
    </row>
    <row r="58">
      <c r="A58" s="27">
        <f>'주간 입력'!C815</f>
        <v/>
      </c>
      <c r="B58" s="27">
        <f>'주간 입력'!C816</f>
        <v/>
      </c>
      <c r="C58" s="28">
        <f>'주간 입력'!C817</f>
        <v/>
      </c>
      <c r="D58" s="28">
        <f>'주간 입력'!C818</f>
        <v/>
      </c>
      <c r="E58" s="29">
        <f>'주간 입력'!C820</f>
        <v/>
      </c>
      <c r="F58" s="29">
        <f>'주간 입력'!C821</f>
        <v/>
      </c>
      <c r="G58" s="29">
        <f>IF(E58="","",E58+F58)</f>
        <v/>
      </c>
      <c r="H58" s="29">
        <f>IF(E58="","",E58*0.15)</f>
        <v/>
      </c>
      <c r="I58" s="29">
        <f>IF(E58="","",IF(F58="",0,F58*0.13))</f>
        <v/>
      </c>
      <c r="J58" s="29">
        <f>IF(E58="","",H58+I58)</f>
        <v/>
      </c>
      <c r="K58" s="29">
        <f>IF(E58="","",J58*0.1)</f>
        <v/>
      </c>
      <c r="L58" s="29">
        <f>IF('주간 입력'!C816=4,3000000,0)</f>
        <v/>
      </c>
      <c r="M58" s="29">
        <f>IF(L58=0,0,L58*0.1)</f>
        <v/>
      </c>
      <c r="N58" s="29">
        <f>IF('주간 입력'!C816=4,55000+15900+50000,0)</f>
        <v/>
      </c>
      <c r="O58" s="29">
        <f>(IF('주간 입력'!C823="",0,'주간 입력'!C823)+IF('주간 입력'!C824="",0,'주간 입력'!C824)+IF('주간 입력'!C825="",0,'주간 입력'!C825))*0.95</f>
        <v/>
      </c>
      <c r="P58" s="29">
        <f>IF('주간 입력'!C827="",0,'주간 입력'!C827)+IF('주간 입력'!C828="",0,'주간 입력'!C828*0.05)+IF('주간 입력'!C829="",0,'주간 입력'!C829)</f>
        <v/>
      </c>
      <c r="Q58" s="29">
        <f>IF(E58="","",J58+K58+L58+M58+N58+O58+P58)</f>
        <v/>
      </c>
      <c r="R58" s="29">
        <f>IF(E58="","",E58-Q58)</f>
        <v/>
      </c>
      <c r="S58" s="29">
        <f>IF(E58="","",F58-I58-I58*0.1)</f>
        <v/>
      </c>
      <c r="T58" s="28">
        <f>'주간 입력'!C830</f>
        <v/>
      </c>
    </row>
    <row r="59">
      <c r="A59" s="27">
        <f>'주간 입력'!C833</f>
        <v/>
      </c>
      <c r="B59" s="27">
        <f>'주간 입력'!C834</f>
        <v/>
      </c>
      <c r="C59" s="28">
        <f>'주간 입력'!C835</f>
        <v/>
      </c>
      <c r="D59" s="28">
        <f>'주간 입력'!C836</f>
        <v/>
      </c>
      <c r="E59" s="29">
        <f>'주간 입력'!C838</f>
        <v/>
      </c>
      <c r="F59" s="29">
        <f>'주간 입력'!C839</f>
        <v/>
      </c>
      <c r="G59" s="29">
        <f>IF(E59="","",E59+F59)</f>
        <v/>
      </c>
      <c r="H59" s="29">
        <f>IF(E59="","",E59*0.15)</f>
        <v/>
      </c>
      <c r="I59" s="29">
        <f>IF(E59="","",IF(F59="",0,F59*0.13))</f>
        <v/>
      </c>
      <c r="J59" s="29">
        <f>IF(E59="","",H59+I59)</f>
        <v/>
      </c>
      <c r="K59" s="29">
        <f>IF(E59="","",J59*0.1)</f>
        <v/>
      </c>
      <c r="L59" s="29">
        <f>IF('주간 입력'!C834=4,3000000,0)</f>
        <v/>
      </c>
      <c r="M59" s="29">
        <f>IF(L59=0,0,L59*0.1)</f>
        <v/>
      </c>
      <c r="N59" s="29">
        <f>IF('주간 입력'!C834=4,55000+15900+50000,0)</f>
        <v/>
      </c>
      <c r="O59" s="29">
        <f>(IF('주간 입력'!C841="",0,'주간 입력'!C841)+IF('주간 입력'!C842="",0,'주간 입력'!C842)+IF('주간 입력'!C843="",0,'주간 입력'!C843))*0.95</f>
        <v/>
      </c>
      <c r="P59" s="29">
        <f>IF('주간 입력'!C845="",0,'주간 입력'!C845)+IF('주간 입력'!C846="",0,'주간 입력'!C846*0.05)+IF('주간 입력'!C847="",0,'주간 입력'!C847)</f>
        <v/>
      </c>
      <c r="Q59" s="29">
        <f>IF(E59="","",J59+K59+L59+M59+N59+O59+P59)</f>
        <v/>
      </c>
      <c r="R59" s="29">
        <f>IF(E59="","",E59-Q59)</f>
        <v/>
      </c>
      <c r="S59" s="29">
        <f>IF(E59="","",F59-I59-I59*0.1)</f>
        <v/>
      </c>
      <c r="T59" s="28">
        <f>'주간 입력'!C848</f>
        <v/>
      </c>
    </row>
    <row r="60">
      <c r="A60" s="27">
        <f>'주간 입력'!C851</f>
        <v/>
      </c>
      <c r="B60" s="27">
        <f>'주간 입력'!C852</f>
        <v/>
      </c>
      <c r="C60" s="28">
        <f>'주간 입력'!C853</f>
        <v/>
      </c>
      <c r="D60" s="28">
        <f>'주간 입력'!C854</f>
        <v/>
      </c>
      <c r="E60" s="29">
        <f>'주간 입력'!C856</f>
        <v/>
      </c>
      <c r="F60" s="29">
        <f>'주간 입력'!C857</f>
        <v/>
      </c>
      <c r="G60" s="29">
        <f>IF(E60="","",E60+F60)</f>
        <v/>
      </c>
      <c r="H60" s="29">
        <f>IF(E60="","",E60*0.15)</f>
        <v/>
      </c>
      <c r="I60" s="29">
        <f>IF(E60="","",IF(F60="",0,F60*0.13))</f>
        <v/>
      </c>
      <c r="J60" s="29">
        <f>IF(E60="","",H60+I60)</f>
        <v/>
      </c>
      <c r="K60" s="29">
        <f>IF(E60="","",J60*0.1)</f>
        <v/>
      </c>
      <c r="L60" s="29">
        <f>IF('주간 입력'!C852=4,3000000,0)</f>
        <v/>
      </c>
      <c r="M60" s="29">
        <f>IF(L60=0,0,L60*0.1)</f>
        <v/>
      </c>
      <c r="N60" s="29">
        <f>IF('주간 입력'!C852=4,55000+15900+50000,0)</f>
        <v/>
      </c>
      <c r="O60" s="29">
        <f>(IF('주간 입력'!C859="",0,'주간 입력'!C859)+IF('주간 입력'!C860="",0,'주간 입력'!C860)+IF('주간 입력'!C861="",0,'주간 입력'!C861))*0.95</f>
        <v/>
      </c>
      <c r="P60" s="29">
        <f>IF('주간 입력'!C863="",0,'주간 입력'!C863)+IF('주간 입력'!C864="",0,'주간 입력'!C864*0.05)+IF('주간 입력'!C865="",0,'주간 입력'!C865)</f>
        <v/>
      </c>
      <c r="Q60" s="29">
        <f>IF(E60="","",J60+K60+L60+M60+N60+O60+P60)</f>
        <v/>
      </c>
      <c r="R60" s="29">
        <f>IF(E60="","",E60-Q60)</f>
        <v/>
      </c>
      <c r="S60" s="29">
        <f>IF(E60="","",F60-I60-I60*0.1)</f>
        <v/>
      </c>
      <c r="T60" s="28">
        <f>'주간 입력'!C866</f>
        <v/>
      </c>
    </row>
    <row r="61">
      <c r="A61" s="27">
        <f>'주간 입력'!C869</f>
        <v/>
      </c>
      <c r="B61" s="27">
        <f>'주간 입력'!C870</f>
        <v/>
      </c>
      <c r="C61" s="28">
        <f>'주간 입력'!C871</f>
        <v/>
      </c>
      <c r="D61" s="28">
        <f>'주간 입력'!C872</f>
        <v/>
      </c>
      <c r="E61" s="29">
        <f>'주간 입력'!C874</f>
        <v/>
      </c>
      <c r="F61" s="29">
        <f>'주간 입력'!C875</f>
        <v/>
      </c>
      <c r="G61" s="29">
        <f>IF(E61="","",E61+F61)</f>
        <v/>
      </c>
      <c r="H61" s="29">
        <f>IF(E61="","",E61*0.15)</f>
        <v/>
      </c>
      <c r="I61" s="29">
        <f>IF(E61="","",IF(F61="",0,F61*0.13))</f>
        <v/>
      </c>
      <c r="J61" s="29">
        <f>IF(E61="","",H61+I61)</f>
        <v/>
      </c>
      <c r="K61" s="29">
        <f>IF(E61="","",J61*0.1)</f>
        <v/>
      </c>
      <c r="L61" s="29">
        <f>IF('주간 입력'!C870=4,3000000,0)</f>
        <v/>
      </c>
      <c r="M61" s="29">
        <f>IF(L61=0,0,L61*0.1)</f>
        <v/>
      </c>
      <c r="N61" s="29">
        <f>IF('주간 입력'!C870=4,55000+15900+50000,0)</f>
        <v/>
      </c>
      <c r="O61" s="29">
        <f>(IF('주간 입력'!C877="",0,'주간 입력'!C877)+IF('주간 입력'!C878="",0,'주간 입력'!C878)+IF('주간 입력'!C879="",0,'주간 입력'!C879))*0.95</f>
        <v/>
      </c>
      <c r="P61" s="29">
        <f>IF('주간 입력'!C881="",0,'주간 입력'!C881)+IF('주간 입력'!C882="",0,'주간 입력'!C882*0.05)+IF('주간 입력'!C883="",0,'주간 입력'!C883)</f>
        <v/>
      </c>
      <c r="Q61" s="29">
        <f>IF(E61="","",J61+K61+L61+M61+N61+O61+P61)</f>
        <v/>
      </c>
      <c r="R61" s="29">
        <f>IF(E61="","",E61-Q61)</f>
        <v/>
      </c>
      <c r="S61" s="29">
        <f>IF(E61="","",F61-I61-I61*0.1)</f>
        <v/>
      </c>
      <c r="T61" s="28">
        <f>'주간 입력'!C884</f>
        <v/>
      </c>
    </row>
    <row r="62">
      <c r="A62" s="27">
        <f>'주간 입력'!C887</f>
        <v/>
      </c>
      <c r="B62" s="27">
        <f>'주간 입력'!C888</f>
        <v/>
      </c>
      <c r="C62" s="28">
        <f>'주간 입력'!C889</f>
        <v/>
      </c>
      <c r="D62" s="28">
        <f>'주간 입력'!C890</f>
        <v/>
      </c>
      <c r="E62" s="29">
        <f>'주간 입력'!C892</f>
        <v/>
      </c>
      <c r="F62" s="29">
        <f>'주간 입력'!C893</f>
        <v/>
      </c>
      <c r="G62" s="29">
        <f>IF(E62="","",E62+F62)</f>
        <v/>
      </c>
      <c r="H62" s="29">
        <f>IF(E62="","",E62*0.15)</f>
        <v/>
      </c>
      <c r="I62" s="29">
        <f>IF(E62="","",IF(F62="",0,F62*0.13))</f>
        <v/>
      </c>
      <c r="J62" s="29">
        <f>IF(E62="","",H62+I62)</f>
        <v/>
      </c>
      <c r="K62" s="29">
        <f>IF(E62="","",J62*0.1)</f>
        <v/>
      </c>
      <c r="L62" s="29">
        <f>IF('주간 입력'!C888=4,3000000,0)</f>
        <v/>
      </c>
      <c r="M62" s="29">
        <f>IF(L62=0,0,L62*0.1)</f>
        <v/>
      </c>
      <c r="N62" s="29">
        <f>IF('주간 입력'!C888=4,55000+15900+50000,0)</f>
        <v/>
      </c>
      <c r="O62" s="29">
        <f>(IF('주간 입력'!C895="",0,'주간 입력'!C895)+IF('주간 입력'!C896="",0,'주간 입력'!C896)+IF('주간 입력'!C897="",0,'주간 입력'!C897))*0.95</f>
        <v/>
      </c>
      <c r="P62" s="29">
        <f>IF('주간 입력'!C899="",0,'주간 입력'!C899)+IF('주간 입력'!C900="",0,'주간 입력'!C900*0.05)+IF('주간 입력'!C901="",0,'주간 입력'!C901)</f>
        <v/>
      </c>
      <c r="Q62" s="29">
        <f>IF(E62="","",J62+K62+L62+M62+N62+O62+P62)</f>
        <v/>
      </c>
      <c r="R62" s="29">
        <f>IF(E62="","",E62-Q62)</f>
        <v/>
      </c>
      <c r="S62" s="29">
        <f>IF(E62="","",F62-I62-I62*0.1)</f>
        <v/>
      </c>
      <c r="T62" s="28">
        <f>'주간 입력'!C902</f>
        <v/>
      </c>
    </row>
    <row r="63">
      <c r="A63" s="30" t="inlineStr">
        <is>
          <t>10월</t>
        </is>
      </c>
      <c r="B63" s="30" t="inlineStr">
        <is>
          <t>소계</t>
        </is>
      </c>
      <c r="C63" s="31" t="n"/>
      <c r="D63" s="31" t="n"/>
      <c r="E63" s="32">
        <f>SUM(E58:E62)</f>
        <v/>
      </c>
      <c r="F63" s="32">
        <f>SUM(F58:F62)</f>
        <v/>
      </c>
      <c r="G63" s="32">
        <f>SUM(G58:G62)</f>
        <v/>
      </c>
      <c r="H63" s="32">
        <f>SUM(H58:H62)</f>
        <v/>
      </c>
      <c r="I63" s="32">
        <f>SUM(I58:I62)</f>
        <v/>
      </c>
      <c r="J63" s="32">
        <f>SUM(J58:J62)</f>
        <v/>
      </c>
      <c r="K63" s="32">
        <f>SUM(K58:K62)</f>
        <v/>
      </c>
      <c r="L63" s="32">
        <f>SUM(L58:L62)</f>
        <v/>
      </c>
      <c r="M63" s="32">
        <f>SUM(M58:M62)</f>
        <v/>
      </c>
      <c r="N63" s="32">
        <f>SUM(N58:N62)</f>
        <v/>
      </c>
      <c r="O63" s="32">
        <f>SUM(O58:O62)</f>
        <v/>
      </c>
      <c r="P63" s="32">
        <f>SUM(P58:P62)</f>
        <v/>
      </c>
      <c r="Q63" s="32">
        <f>SUM(Q58:Q62)</f>
        <v/>
      </c>
      <c r="R63" s="32">
        <f>SUM(R58:R62)</f>
        <v/>
      </c>
      <c r="S63" s="32">
        <f>SUM(S58:S62)</f>
        <v/>
      </c>
      <c r="T63" s="31" t="n"/>
    </row>
    <row r="64">
      <c r="A64" s="27">
        <f>'주간 입력'!C905</f>
        <v/>
      </c>
      <c r="B64" s="27">
        <f>'주간 입력'!C906</f>
        <v/>
      </c>
      <c r="C64" s="28">
        <f>'주간 입력'!C907</f>
        <v/>
      </c>
      <c r="D64" s="28">
        <f>'주간 입력'!C908</f>
        <v/>
      </c>
      <c r="E64" s="29">
        <f>'주간 입력'!C910</f>
        <v/>
      </c>
      <c r="F64" s="29">
        <f>'주간 입력'!C911</f>
        <v/>
      </c>
      <c r="G64" s="29">
        <f>IF(E64="","",E64+F64)</f>
        <v/>
      </c>
      <c r="H64" s="29">
        <f>IF(E64="","",E64*0.15)</f>
        <v/>
      </c>
      <c r="I64" s="29">
        <f>IF(E64="","",IF(F64="",0,F64*0.13))</f>
        <v/>
      </c>
      <c r="J64" s="29">
        <f>IF(E64="","",H64+I64)</f>
        <v/>
      </c>
      <c r="K64" s="29">
        <f>IF(E64="","",J64*0.1)</f>
        <v/>
      </c>
      <c r="L64" s="29">
        <f>IF('주간 입력'!C906=4,3000000,0)</f>
        <v/>
      </c>
      <c r="M64" s="29">
        <f>IF(L64=0,0,L64*0.1)</f>
        <v/>
      </c>
      <c r="N64" s="29">
        <f>IF('주간 입력'!C906=4,55000+15900+50000,0)</f>
        <v/>
      </c>
      <c r="O64" s="29">
        <f>(IF('주간 입력'!C913="",0,'주간 입력'!C913)+IF('주간 입력'!C914="",0,'주간 입력'!C914)+IF('주간 입력'!C915="",0,'주간 입력'!C915))*0.95</f>
        <v/>
      </c>
      <c r="P64" s="29">
        <f>IF('주간 입력'!C917="",0,'주간 입력'!C917)+IF('주간 입력'!C918="",0,'주간 입력'!C918*0.05)+IF('주간 입력'!C919="",0,'주간 입력'!C919)</f>
        <v/>
      </c>
      <c r="Q64" s="29">
        <f>IF(E64="","",J64+K64+L64+M64+N64+O64+P64)</f>
        <v/>
      </c>
      <c r="R64" s="29">
        <f>IF(E64="","",E64-Q64)</f>
        <v/>
      </c>
      <c r="S64" s="29">
        <f>IF(E64="","",F64-I64-I64*0.1)</f>
        <v/>
      </c>
      <c r="T64" s="28">
        <f>'주간 입력'!C920</f>
        <v/>
      </c>
    </row>
    <row r="65">
      <c r="A65" s="27">
        <f>'주간 입력'!C923</f>
        <v/>
      </c>
      <c r="B65" s="27">
        <f>'주간 입력'!C924</f>
        <v/>
      </c>
      <c r="C65" s="28">
        <f>'주간 입력'!C925</f>
        <v/>
      </c>
      <c r="D65" s="28">
        <f>'주간 입력'!C926</f>
        <v/>
      </c>
      <c r="E65" s="29">
        <f>'주간 입력'!C928</f>
        <v/>
      </c>
      <c r="F65" s="29">
        <f>'주간 입력'!C929</f>
        <v/>
      </c>
      <c r="G65" s="29">
        <f>IF(E65="","",E65+F65)</f>
        <v/>
      </c>
      <c r="H65" s="29">
        <f>IF(E65="","",E65*0.15)</f>
        <v/>
      </c>
      <c r="I65" s="29">
        <f>IF(E65="","",IF(F65="",0,F65*0.13))</f>
        <v/>
      </c>
      <c r="J65" s="29">
        <f>IF(E65="","",H65+I65)</f>
        <v/>
      </c>
      <c r="K65" s="29">
        <f>IF(E65="","",J65*0.1)</f>
        <v/>
      </c>
      <c r="L65" s="29">
        <f>IF('주간 입력'!C924=4,3000000,0)</f>
        <v/>
      </c>
      <c r="M65" s="29">
        <f>IF(L65=0,0,L65*0.1)</f>
        <v/>
      </c>
      <c r="N65" s="29">
        <f>IF('주간 입력'!C924=4,55000+15900+50000,0)</f>
        <v/>
      </c>
      <c r="O65" s="29">
        <f>(IF('주간 입력'!C931="",0,'주간 입력'!C931)+IF('주간 입력'!C932="",0,'주간 입력'!C932)+IF('주간 입력'!C933="",0,'주간 입력'!C933))*0.95</f>
        <v/>
      </c>
      <c r="P65" s="29">
        <f>IF('주간 입력'!C935="",0,'주간 입력'!C935)+IF('주간 입력'!C936="",0,'주간 입력'!C936*0.05)+IF('주간 입력'!C937="",0,'주간 입력'!C937)</f>
        <v/>
      </c>
      <c r="Q65" s="29">
        <f>IF(E65="","",J65+K65+L65+M65+N65+O65+P65)</f>
        <v/>
      </c>
      <c r="R65" s="29">
        <f>IF(E65="","",E65-Q65)</f>
        <v/>
      </c>
      <c r="S65" s="29">
        <f>IF(E65="","",F65-I65-I65*0.1)</f>
        <v/>
      </c>
      <c r="T65" s="28">
        <f>'주간 입력'!C938</f>
        <v/>
      </c>
    </row>
    <row r="66">
      <c r="A66" s="27">
        <f>'주간 입력'!C941</f>
        <v/>
      </c>
      <c r="B66" s="27">
        <f>'주간 입력'!C942</f>
        <v/>
      </c>
      <c r="C66" s="28">
        <f>'주간 입력'!C943</f>
        <v/>
      </c>
      <c r="D66" s="28">
        <f>'주간 입력'!C944</f>
        <v/>
      </c>
      <c r="E66" s="29">
        <f>'주간 입력'!C946</f>
        <v/>
      </c>
      <c r="F66" s="29">
        <f>'주간 입력'!C947</f>
        <v/>
      </c>
      <c r="G66" s="29">
        <f>IF(E66="","",E66+F66)</f>
        <v/>
      </c>
      <c r="H66" s="29">
        <f>IF(E66="","",E66*0.15)</f>
        <v/>
      </c>
      <c r="I66" s="29">
        <f>IF(E66="","",IF(F66="",0,F66*0.13))</f>
        <v/>
      </c>
      <c r="J66" s="29">
        <f>IF(E66="","",H66+I66)</f>
        <v/>
      </c>
      <c r="K66" s="29">
        <f>IF(E66="","",J66*0.1)</f>
        <v/>
      </c>
      <c r="L66" s="29">
        <f>IF('주간 입력'!C942=4,3000000,0)</f>
        <v/>
      </c>
      <c r="M66" s="29">
        <f>IF(L66=0,0,L66*0.1)</f>
        <v/>
      </c>
      <c r="N66" s="29">
        <f>IF('주간 입력'!C942=4,55000+15900+50000,0)</f>
        <v/>
      </c>
      <c r="O66" s="29">
        <f>(IF('주간 입력'!C949="",0,'주간 입력'!C949)+IF('주간 입력'!C950="",0,'주간 입력'!C950)+IF('주간 입력'!C951="",0,'주간 입력'!C951))*0.95</f>
        <v/>
      </c>
      <c r="P66" s="29">
        <f>IF('주간 입력'!C953="",0,'주간 입력'!C953)+IF('주간 입력'!C954="",0,'주간 입력'!C954*0.05)+IF('주간 입력'!C955="",0,'주간 입력'!C955)</f>
        <v/>
      </c>
      <c r="Q66" s="29">
        <f>IF(E66="","",J66+K66+L66+M66+N66+O66+P66)</f>
        <v/>
      </c>
      <c r="R66" s="29">
        <f>IF(E66="","",E66-Q66)</f>
        <v/>
      </c>
      <c r="S66" s="29">
        <f>IF(E66="","",F66-I66-I66*0.1)</f>
        <v/>
      </c>
      <c r="T66" s="28">
        <f>'주간 입력'!C956</f>
        <v/>
      </c>
    </row>
    <row r="67">
      <c r="A67" s="27">
        <f>'주간 입력'!C959</f>
        <v/>
      </c>
      <c r="B67" s="27">
        <f>'주간 입력'!C960</f>
        <v/>
      </c>
      <c r="C67" s="28">
        <f>'주간 입력'!C961</f>
        <v/>
      </c>
      <c r="D67" s="28">
        <f>'주간 입력'!C962</f>
        <v/>
      </c>
      <c r="E67" s="29">
        <f>'주간 입력'!C964</f>
        <v/>
      </c>
      <c r="F67" s="29">
        <f>'주간 입력'!C965</f>
        <v/>
      </c>
      <c r="G67" s="29">
        <f>IF(E67="","",E67+F67)</f>
        <v/>
      </c>
      <c r="H67" s="29">
        <f>IF(E67="","",E67*0.15)</f>
        <v/>
      </c>
      <c r="I67" s="29">
        <f>IF(E67="","",IF(F67="",0,F67*0.13))</f>
        <v/>
      </c>
      <c r="J67" s="29">
        <f>IF(E67="","",H67+I67)</f>
        <v/>
      </c>
      <c r="K67" s="29">
        <f>IF(E67="","",J67*0.1)</f>
        <v/>
      </c>
      <c r="L67" s="29">
        <f>IF('주간 입력'!C960=4,3000000,0)</f>
        <v/>
      </c>
      <c r="M67" s="29">
        <f>IF(L67=0,0,L67*0.1)</f>
        <v/>
      </c>
      <c r="N67" s="29">
        <f>IF('주간 입력'!C960=4,55000+15900+50000,0)</f>
        <v/>
      </c>
      <c r="O67" s="29">
        <f>(IF('주간 입력'!C967="",0,'주간 입력'!C967)+IF('주간 입력'!C968="",0,'주간 입력'!C968)+IF('주간 입력'!C969="",0,'주간 입력'!C969))*0.95</f>
        <v/>
      </c>
      <c r="P67" s="29">
        <f>IF('주간 입력'!C971="",0,'주간 입력'!C971)+IF('주간 입력'!C972="",0,'주간 입력'!C972*0.05)+IF('주간 입력'!C973="",0,'주간 입력'!C973)</f>
        <v/>
      </c>
      <c r="Q67" s="29">
        <f>IF(E67="","",J67+K67+L67+M67+N67+O67+P67)</f>
        <v/>
      </c>
      <c r="R67" s="29">
        <f>IF(E67="","",E67-Q67)</f>
        <v/>
      </c>
      <c r="S67" s="29">
        <f>IF(E67="","",F67-I67-I67*0.1)</f>
        <v/>
      </c>
      <c r="T67" s="28">
        <f>'주간 입력'!C974</f>
        <v/>
      </c>
    </row>
    <row r="68">
      <c r="A68" s="27">
        <f>'주간 입력'!C977</f>
        <v/>
      </c>
      <c r="B68" s="27">
        <f>'주간 입력'!C978</f>
        <v/>
      </c>
      <c r="C68" s="28">
        <f>'주간 입력'!C979</f>
        <v/>
      </c>
      <c r="D68" s="28">
        <f>'주간 입력'!C980</f>
        <v/>
      </c>
      <c r="E68" s="29">
        <f>'주간 입력'!C982</f>
        <v/>
      </c>
      <c r="F68" s="29">
        <f>'주간 입력'!C983</f>
        <v/>
      </c>
      <c r="G68" s="29">
        <f>IF(E68="","",E68+F68)</f>
        <v/>
      </c>
      <c r="H68" s="29">
        <f>IF(E68="","",E68*0.15)</f>
        <v/>
      </c>
      <c r="I68" s="29">
        <f>IF(E68="","",IF(F68="",0,F68*0.13))</f>
        <v/>
      </c>
      <c r="J68" s="29">
        <f>IF(E68="","",H68+I68)</f>
        <v/>
      </c>
      <c r="K68" s="29">
        <f>IF(E68="","",J68*0.1)</f>
        <v/>
      </c>
      <c r="L68" s="29">
        <f>IF('주간 입력'!C978=4,3000000,0)</f>
        <v/>
      </c>
      <c r="M68" s="29">
        <f>IF(L68=0,0,L68*0.1)</f>
        <v/>
      </c>
      <c r="N68" s="29">
        <f>IF('주간 입력'!C978=4,55000+15900+50000,0)</f>
        <v/>
      </c>
      <c r="O68" s="29">
        <f>(IF('주간 입력'!C985="",0,'주간 입력'!C985)+IF('주간 입력'!C986="",0,'주간 입력'!C986)+IF('주간 입력'!C987="",0,'주간 입력'!C987))*0.95</f>
        <v/>
      </c>
      <c r="P68" s="29">
        <f>IF('주간 입력'!C989="",0,'주간 입력'!C989)+IF('주간 입력'!C990="",0,'주간 입력'!C990*0.05)+IF('주간 입력'!C991="",0,'주간 입력'!C991)</f>
        <v/>
      </c>
      <c r="Q68" s="29">
        <f>IF(E68="","",J68+K68+L68+M68+N68+O68+P68)</f>
        <v/>
      </c>
      <c r="R68" s="29">
        <f>IF(E68="","",E68-Q68)</f>
        <v/>
      </c>
      <c r="S68" s="29">
        <f>IF(E68="","",F68-I68-I68*0.1)</f>
        <v/>
      </c>
      <c r="T68" s="28">
        <f>'주간 입력'!C992</f>
        <v/>
      </c>
    </row>
    <row r="69">
      <c r="A69" s="30" t="inlineStr">
        <is>
          <t>11월</t>
        </is>
      </c>
      <c r="B69" s="30" t="inlineStr">
        <is>
          <t>소계</t>
        </is>
      </c>
      <c r="C69" s="31" t="n"/>
      <c r="D69" s="31" t="n"/>
      <c r="E69" s="32">
        <f>SUM(E64:E68)</f>
        <v/>
      </c>
      <c r="F69" s="32">
        <f>SUM(F64:F68)</f>
        <v/>
      </c>
      <c r="G69" s="32">
        <f>SUM(G64:G68)</f>
        <v/>
      </c>
      <c r="H69" s="32">
        <f>SUM(H64:H68)</f>
        <v/>
      </c>
      <c r="I69" s="32">
        <f>SUM(I64:I68)</f>
        <v/>
      </c>
      <c r="J69" s="32">
        <f>SUM(J64:J68)</f>
        <v/>
      </c>
      <c r="K69" s="32">
        <f>SUM(K64:K68)</f>
        <v/>
      </c>
      <c r="L69" s="32">
        <f>SUM(L64:L68)</f>
        <v/>
      </c>
      <c r="M69" s="32">
        <f>SUM(M64:M68)</f>
        <v/>
      </c>
      <c r="N69" s="32">
        <f>SUM(N64:N68)</f>
        <v/>
      </c>
      <c r="O69" s="32">
        <f>SUM(O64:O68)</f>
        <v/>
      </c>
      <c r="P69" s="32">
        <f>SUM(P64:P68)</f>
        <v/>
      </c>
      <c r="Q69" s="32">
        <f>SUM(Q64:Q68)</f>
        <v/>
      </c>
      <c r="R69" s="32">
        <f>SUM(R64:R68)</f>
        <v/>
      </c>
      <c r="S69" s="32">
        <f>SUM(S64:S68)</f>
        <v/>
      </c>
      <c r="T69" s="31" t="n"/>
    </row>
    <row r="70">
      <c r="A70" s="27">
        <f>'주간 입력'!C995</f>
        <v/>
      </c>
      <c r="B70" s="27">
        <f>'주간 입력'!C996</f>
        <v/>
      </c>
      <c r="C70" s="28">
        <f>'주간 입력'!C997</f>
        <v/>
      </c>
      <c r="D70" s="28">
        <f>'주간 입력'!C998</f>
        <v/>
      </c>
      <c r="E70" s="29">
        <f>'주간 입력'!C1000</f>
        <v/>
      </c>
      <c r="F70" s="29">
        <f>'주간 입력'!C1001</f>
        <v/>
      </c>
      <c r="G70" s="29">
        <f>IF(E70="","",E70+F70)</f>
        <v/>
      </c>
      <c r="H70" s="29">
        <f>IF(E70="","",E70*0.15)</f>
        <v/>
      </c>
      <c r="I70" s="29">
        <f>IF(E70="","",IF(F70="",0,F70*0.13))</f>
        <v/>
      </c>
      <c r="J70" s="29">
        <f>IF(E70="","",H70+I70)</f>
        <v/>
      </c>
      <c r="K70" s="29">
        <f>IF(E70="","",J70*0.1)</f>
        <v/>
      </c>
      <c r="L70" s="29">
        <f>IF('주간 입력'!C996=4,3000000,0)</f>
        <v/>
      </c>
      <c r="M70" s="29">
        <f>IF(L70=0,0,L70*0.1)</f>
        <v/>
      </c>
      <c r="N70" s="29">
        <f>IF('주간 입력'!C996=4,55000+15900+50000,0)</f>
        <v/>
      </c>
      <c r="O70" s="29">
        <f>(IF('주간 입력'!C1003="",0,'주간 입력'!C1003)+IF('주간 입력'!C1004="",0,'주간 입력'!C1004)+IF('주간 입력'!C1005="",0,'주간 입력'!C1005))*0.95</f>
        <v/>
      </c>
      <c r="P70" s="29">
        <f>IF('주간 입력'!C1007="",0,'주간 입력'!C1007)+IF('주간 입력'!C1008="",0,'주간 입력'!C1008*0.05)+IF('주간 입력'!C1009="",0,'주간 입력'!C1009)</f>
        <v/>
      </c>
      <c r="Q70" s="29">
        <f>IF(E70="","",J70+K70+L70+M70+N70+O70+P70)</f>
        <v/>
      </c>
      <c r="R70" s="29">
        <f>IF(E70="","",E70-Q70)</f>
        <v/>
      </c>
      <c r="S70" s="29">
        <f>IF(E70="","",F70-I70-I70*0.1)</f>
        <v/>
      </c>
      <c r="T70" s="28">
        <f>'주간 입력'!C1010</f>
        <v/>
      </c>
    </row>
    <row r="71">
      <c r="A71" s="27">
        <f>'주간 입력'!C1013</f>
        <v/>
      </c>
      <c r="B71" s="27">
        <f>'주간 입력'!C1014</f>
        <v/>
      </c>
      <c r="C71" s="28">
        <f>'주간 입력'!C1015</f>
        <v/>
      </c>
      <c r="D71" s="28">
        <f>'주간 입력'!C1016</f>
        <v/>
      </c>
      <c r="E71" s="29">
        <f>'주간 입력'!C1018</f>
        <v/>
      </c>
      <c r="F71" s="29">
        <f>'주간 입력'!C1019</f>
        <v/>
      </c>
      <c r="G71" s="29">
        <f>IF(E71="","",E71+F71)</f>
        <v/>
      </c>
      <c r="H71" s="29">
        <f>IF(E71="","",E71*0.15)</f>
        <v/>
      </c>
      <c r="I71" s="29">
        <f>IF(E71="","",IF(F71="",0,F71*0.13))</f>
        <v/>
      </c>
      <c r="J71" s="29">
        <f>IF(E71="","",H71+I71)</f>
        <v/>
      </c>
      <c r="K71" s="29">
        <f>IF(E71="","",J71*0.1)</f>
        <v/>
      </c>
      <c r="L71" s="29">
        <f>IF('주간 입력'!C1014=4,3000000,0)</f>
        <v/>
      </c>
      <c r="M71" s="29">
        <f>IF(L71=0,0,L71*0.1)</f>
        <v/>
      </c>
      <c r="N71" s="29">
        <f>IF('주간 입력'!C1014=4,55000+15900+50000,0)</f>
        <v/>
      </c>
      <c r="O71" s="29">
        <f>(IF('주간 입력'!C1021="",0,'주간 입력'!C1021)+IF('주간 입력'!C1022="",0,'주간 입력'!C1022)+IF('주간 입력'!C1023="",0,'주간 입력'!C1023))*0.95</f>
        <v/>
      </c>
      <c r="P71" s="29">
        <f>IF('주간 입력'!C1025="",0,'주간 입력'!C1025)+IF('주간 입력'!C1026="",0,'주간 입력'!C1026*0.05)+IF('주간 입력'!C1027="",0,'주간 입력'!C1027)</f>
        <v/>
      </c>
      <c r="Q71" s="29">
        <f>IF(E71="","",J71+K71+L71+M71+N71+O71+P71)</f>
        <v/>
      </c>
      <c r="R71" s="29">
        <f>IF(E71="","",E71-Q71)</f>
        <v/>
      </c>
      <c r="S71" s="29">
        <f>IF(E71="","",F71-I71-I71*0.1)</f>
        <v/>
      </c>
      <c r="T71" s="28">
        <f>'주간 입력'!C1028</f>
        <v/>
      </c>
    </row>
    <row r="72">
      <c r="A72" s="27">
        <f>'주간 입력'!C1031</f>
        <v/>
      </c>
      <c r="B72" s="27">
        <f>'주간 입력'!C1032</f>
        <v/>
      </c>
      <c r="C72" s="28">
        <f>'주간 입력'!C1033</f>
        <v/>
      </c>
      <c r="D72" s="28">
        <f>'주간 입력'!C1034</f>
        <v/>
      </c>
      <c r="E72" s="29">
        <f>'주간 입력'!C1036</f>
        <v/>
      </c>
      <c r="F72" s="29">
        <f>'주간 입력'!C1037</f>
        <v/>
      </c>
      <c r="G72" s="29">
        <f>IF(E72="","",E72+F72)</f>
        <v/>
      </c>
      <c r="H72" s="29">
        <f>IF(E72="","",E72*0.15)</f>
        <v/>
      </c>
      <c r="I72" s="29">
        <f>IF(E72="","",IF(F72="",0,F72*0.13))</f>
        <v/>
      </c>
      <c r="J72" s="29">
        <f>IF(E72="","",H72+I72)</f>
        <v/>
      </c>
      <c r="K72" s="29">
        <f>IF(E72="","",J72*0.1)</f>
        <v/>
      </c>
      <c r="L72" s="29">
        <f>IF('주간 입력'!C1032=4,3000000,0)</f>
        <v/>
      </c>
      <c r="M72" s="29">
        <f>IF(L72=0,0,L72*0.1)</f>
        <v/>
      </c>
      <c r="N72" s="29">
        <f>IF('주간 입력'!C1032=4,55000+15900+50000,0)</f>
        <v/>
      </c>
      <c r="O72" s="29">
        <f>(IF('주간 입력'!C1039="",0,'주간 입력'!C1039)+IF('주간 입력'!C1040="",0,'주간 입력'!C1040)+IF('주간 입력'!C1041="",0,'주간 입력'!C1041))*0.95</f>
        <v/>
      </c>
      <c r="P72" s="29">
        <f>IF('주간 입력'!C1043="",0,'주간 입력'!C1043)+IF('주간 입력'!C1044="",0,'주간 입력'!C1044*0.05)+IF('주간 입력'!C1045="",0,'주간 입력'!C1045)</f>
        <v/>
      </c>
      <c r="Q72" s="29">
        <f>IF(E72="","",J72+K72+L72+M72+N72+O72+P72)</f>
        <v/>
      </c>
      <c r="R72" s="29">
        <f>IF(E72="","",E72-Q72)</f>
        <v/>
      </c>
      <c r="S72" s="29">
        <f>IF(E72="","",F72-I72-I72*0.1)</f>
        <v/>
      </c>
      <c r="T72" s="28">
        <f>'주간 입력'!C1046</f>
        <v/>
      </c>
    </row>
    <row r="73">
      <c r="A73" s="27">
        <f>'주간 입력'!C1049</f>
        <v/>
      </c>
      <c r="B73" s="27">
        <f>'주간 입력'!C1050</f>
        <v/>
      </c>
      <c r="C73" s="28">
        <f>'주간 입력'!C1051</f>
        <v/>
      </c>
      <c r="D73" s="28">
        <f>'주간 입력'!C1052</f>
        <v/>
      </c>
      <c r="E73" s="29">
        <f>'주간 입력'!C1054</f>
        <v/>
      </c>
      <c r="F73" s="29">
        <f>'주간 입력'!C1055</f>
        <v/>
      </c>
      <c r="G73" s="29">
        <f>IF(E73="","",E73+F73)</f>
        <v/>
      </c>
      <c r="H73" s="29">
        <f>IF(E73="","",E73*0.15)</f>
        <v/>
      </c>
      <c r="I73" s="29">
        <f>IF(E73="","",IF(F73="",0,F73*0.13))</f>
        <v/>
      </c>
      <c r="J73" s="29">
        <f>IF(E73="","",H73+I73)</f>
        <v/>
      </c>
      <c r="K73" s="29">
        <f>IF(E73="","",J73*0.1)</f>
        <v/>
      </c>
      <c r="L73" s="29">
        <f>IF('주간 입력'!C1050=4,3000000,0)</f>
        <v/>
      </c>
      <c r="M73" s="29">
        <f>IF(L73=0,0,L73*0.1)</f>
        <v/>
      </c>
      <c r="N73" s="29">
        <f>IF('주간 입력'!C1050=4,55000+15900+50000,0)</f>
        <v/>
      </c>
      <c r="O73" s="29">
        <f>(IF('주간 입력'!C1057="",0,'주간 입력'!C1057)+IF('주간 입력'!C1058="",0,'주간 입력'!C1058)+IF('주간 입력'!C1059="",0,'주간 입력'!C1059))*0.95</f>
        <v/>
      </c>
      <c r="P73" s="29">
        <f>IF('주간 입력'!C1061="",0,'주간 입력'!C1061)+IF('주간 입력'!C1062="",0,'주간 입력'!C1062*0.05)+IF('주간 입력'!C1063="",0,'주간 입력'!C1063)</f>
        <v/>
      </c>
      <c r="Q73" s="29">
        <f>IF(E73="","",J73+K73+L73+M73+N73+O73+P73)</f>
        <v/>
      </c>
      <c r="R73" s="29">
        <f>IF(E73="","",E73-Q73)</f>
        <v/>
      </c>
      <c r="S73" s="29">
        <f>IF(E73="","",F73-I73-I73*0.1)</f>
        <v/>
      </c>
      <c r="T73" s="28">
        <f>'주간 입력'!C1064</f>
        <v/>
      </c>
    </row>
    <row r="74">
      <c r="A74" s="27">
        <f>'주간 입력'!C1067</f>
        <v/>
      </c>
      <c r="B74" s="27">
        <f>'주간 입력'!C1068</f>
        <v/>
      </c>
      <c r="C74" s="28">
        <f>'주간 입력'!C1069</f>
        <v/>
      </c>
      <c r="D74" s="28">
        <f>'주간 입력'!C1070</f>
        <v/>
      </c>
      <c r="E74" s="29">
        <f>'주간 입력'!C1072</f>
        <v/>
      </c>
      <c r="F74" s="29">
        <f>'주간 입력'!C1073</f>
        <v/>
      </c>
      <c r="G74" s="29">
        <f>IF(E74="","",E74+F74)</f>
        <v/>
      </c>
      <c r="H74" s="29">
        <f>IF(E74="","",E74*0.15)</f>
        <v/>
      </c>
      <c r="I74" s="29">
        <f>IF(E74="","",IF(F74="",0,F74*0.13))</f>
        <v/>
      </c>
      <c r="J74" s="29">
        <f>IF(E74="","",H74+I74)</f>
        <v/>
      </c>
      <c r="K74" s="29">
        <f>IF(E74="","",J74*0.1)</f>
        <v/>
      </c>
      <c r="L74" s="29">
        <f>IF('주간 입력'!C1068=4,3000000,0)</f>
        <v/>
      </c>
      <c r="M74" s="29">
        <f>IF(L74=0,0,L74*0.1)</f>
        <v/>
      </c>
      <c r="N74" s="29">
        <f>IF('주간 입력'!C1068=4,55000+15900+50000,0)</f>
        <v/>
      </c>
      <c r="O74" s="29">
        <f>(IF('주간 입력'!C1075="",0,'주간 입력'!C1075)+IF('주간 입력'!C1076="",0,'주간 입력'!C1076)+IF('주간 입력'!C1077="",0,'주간 입력'!C1077))*0.95</f>
        <v/>
      </c>
      <c r="P74" s="29">
        <f>IF('주간 입력'!C1079="",0,'주간 입력'!C1079)+IF('주간 입력'!C1080="",0,'주간 입력'!C1080*0.05)+IF('주간 입력'!C1081="",0,'주간 입력'!C1081)</f>
        <v/>
      </c>
      <c r="Q74" s="29">
        <f>IF(E74="","",J74+K74+L74+M74+N74+O74+P74)</f>
        <v/>
      </c>
      <c r="R74" s="29">
        <f>IF(E74="","",E74-Q74)</f>
        <v/>
      </c>
      <c r="S74" s="29">
        <f>IF(E74="","",F74-I74-I74*0.1)</f>
        <v/>
      </c>
      <c r="T74" s="28">
        <f>'주간 입력'!C1082</f>
        <v/>
      </c>
    </row>
    <row r="75">
      <c r="A75" s="30" t="inlineStr">
        <is>
          <t>12월</t>
        </is>
      </c>
      <c r="B75" s="30" t="inlineStr">
        <is>
          <t>소계</t>
        </is>
      </c>
      <c r="C75" s="31" t="n"/>
      <c r="D75" s="31" t="n"/>
      <c r="E75" s="32">
        <f>SUM(E70:E74)</f>
        <v/>
      </c>
      <c r="F75" s="32">
        <f>SUM(F70:F74)</f>
        <v/>
      </c>
      <c r="G75" s="32">
        <f>SUM(G70:G74)</f>
        <v/>
      </c>
      <c r="H75" s="32">
        <f>SUM(H70:H74)</f>
        <v/>
      </c>
      <c r="I75" s="32">
        <f>SUM(I70:I74)</f>
        <v/>
      </c>
      <c r="J75" s="32">
        <f>SUM(J70:J74)</f>
        <v/>
      </c>
      <c r="K75" s="32">
        <f>SUM(K70:K74)</f>
        <v/>
      </c>
      <c r="L75" s="32">
        <f>SUM(L70:L74)</f>
        <v/>
      </c>
      <c r="M75" s="32">
        <f>SUM(M70:M74)</f>
        <v/>
      </c>
      <c r="N75" s="32">
        <f>SUM(N70:N74)</f>
        <v/>
      </c>
      <c r="O75" s="32">
        <f>SUM(O70:O74)</f>
        <v/>
      </c>
      <c r="P75" s="32">
        <f>SUM(P70:P74)</f>
        <v/>
      </c>
      <c r="Q75" s="32">
        <f>SUM(Q70:Q74)</f>
        <v/>
      </c>
      <c r="R75" s="32">
        <f>SUM(R70:R74)</f>
        <v/>
      </c>
      <c r="S75" s="32">
        <f>SUM(S70:S74)</f>
        <v/>
      </c>
      <c r="T75" s="31" t="n"/>
    </row>
    <row r="76">
      <c r="A76" s="23" t="inlineStr">
        <is>
          <t>연간</t>
        </is>
      </c>
      <c r="B76" s="23" t="inlineStr">
        <is>
          <t>합계</t>
        </is>
      </c>
      <c r="C76" s="33" t="n"/>
      <c r="D76" s="33" t="n"/>
      <c r="E76" s="24">
        <f>E9+E15+E21+E27+E33+E39+E45+E51+E57+E63+E69+E75</f>
        <v/>
      </c>
      <c r="F76" s="24">
        <f>F9+F15+F21+F27+F33+F39+F45+F51+F57+F63+F69+F75</f>
        <v/>
      </c>
      <c r="G76" s="24">
        <f>G9+G15+G21+G27+G33+G39+G45+G51+G57+G63+G69+G75</f>
        <v/>
      </c>
      <c r="H76" s="24">
        <f>H9+H15+H21+H27+H33+H39+H45+H51+H57+H63+H69+H75</f>
        <v/>
      </c>
      <c r="I76" s="24">
        <f>I9+I15+I21+I27+I33+I39+I45+I51+I57+I63+I69+I75</f>
        <v/>
      </c>
      <c r="J76" s="24">
        <f>J9+J15+J21+J27+J33+J39+J45+J51+J57+J63+J69+J75</f>
        <v/>
      </c>
      <c r="K76" s="24">
        <f>K9+K15+K21+K27+K33+K39+K45+K51+K57+K63+K69+K75</f>
        <v/>
      </c>
      <c r="L76" s="24">
        <f>L9+L15+L21+L27+L33+L39+L45+L51+L57+L63+L69+L75</f>
        <v/>
      </c>
      <c r="M76" s="24">
        <f>M9+M15+M21+M27+M33+M39+M45+M51+M57+M63+M69+M75</f>
        <v/>
      </c>
      <c r="N76" s="24">
        <f>N9+N15+N21+N27+N33+N39+N45+N51+N57+N63+N69+N75</f>
        <v/>
      </c>
      <c r="O76" s="24">
        <f>O9+O15+O21+O27+O33+O39+O45+O51+O57+O63+O69+O75</f>
        <v/>
      </c>
      <c r="P76" s="24">
        <f>P9+P15+P21+P27+P33+P39+P45+P51+P57+P63+P69+P75</f>
        <v/>
      </c>
      <c r="Q76" s="24">
        <f>Q9+Q15+Q21+Q27+Q33+Q39+Q45+Q51+Q57+Q63+Q69+Q75</f>
        <v/>
      </c>
      <c r="R76" s="24">
        <f>R9+R15+R21+R27+R33+R39+R45+R51+R57+R63+R69+R75</f>
        <v/>
      </c>
      <c r="S76" s="24">
        <f>S9+S15+S21+S27+S33+S39+S45+S51+S57+S63+S69+S75</f>
        <v/>
      </c>
      <c r="T76" s="33" t="n"/>
    </row>
  </sheetData>
  <mergeCells count="2">
    <mergeCell ref="A1:T1"/>
    <mergeCell ref="A2:T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0" customWidth="1" min="7" max="7"/>
    <col width="25" customWidth="1" min="8" max="8"/>
  </cols>
  <sheetData>
    <row r="1">
      <c r="A1" s="1" t="inlineStr">
        <is>
          <t>미식가의 주방 — 미수금 관리</t>
        </is>
      </c>
    </row>
    <row r="2">
      <c r="A2" s="2" t="inlineStr">
        <is>
          <t>기존 미수금 현황 + 상환 계획 (세금계산서 vs 은행거래 비교 기준)</t>
        </is>
      </c>
    </row>
    <row r="3">
      <c r="A3" s="19" t="inlineStr">
        <is>
          <t>#</t>
        </is>
      </c>
      <c r="B3" s="19" t="inlineStr">
        <is>
          <t>항목</t>
        </is>
      </c>
      <c r="C3" s="19" t="inlineStr">
        <is>
          <t>원금</t>
        </is>
      </c>
      <c r="D3" s="19" t="inlineStr">
        <is>
          <t>차감 누적</t>
        </is>
      </c>
      <c r="E3" s="19" t="inlineStr">
        <is>
          <t>잔액</t>
        </is>
      </c>
      <c r="F3" s="19" t="inlineStr">
        <is>
          <t>이자</t>
        </is>
      </c>
      <c r="G3" s="19" t="inlineStr">
        <is>
          <t>상태</t>
        </is>
      </c>
      <c r="H3" s="19" t="inlineStr">
        <is>
          <t>비고</t>
        </is>
      </c>
    </row>
    <row r="4">
      <c r="A4" s="16" t="n">
        <v>1</v>
      </c>
      <c r="B4" s="16" t="inlineStr">
        <is>
          <t>공과금 미수</t>
        </is>
      </c>
      <c r="C4" s="21" t="n">
        <v>26480630</v>
      </c>
      <c r="D4" s="11" t="inlineStr"/>
      <c r="E4" s="21">
        <f>C4-IF(D4="",0,D4)</f>
        <v/>
      </c>
      <c r="F4" s="21" t="inlineStr"/>
      <c r="G4" s="16" t="inlineStr">
        <is>
          <t>미수</t>
        </is>
      </c>
      <c r="H4" s="16" t="inlineStr">
        <is>
          <t>2024.4~2025.12 누적</t>
        </is>
      </c>
    </row>
    <row r="5">
      <c r="A5" s="16" t="n">
        <v>2</v>
      </c>
      <c r="B5" s="16" t="inlineStr">
        <is>
          <t>임대료 미수</t>
        </is>
      </c>
      <c r="C5" s="21" t="n">
        <v>6600000</v>
      </c>
      <c r="D5" s="11" t="inlineStr"/>
      <c r="E5" s="21">
        <f>C5-IF(D5="",0,D5)</f>
        <v/>
      </c>
      <c r="F5" s="21" t="inlineStr"/>
      <c r="G5" s="16" t="inlineStr">
        <is>
          <t>미수</t>
        </is>
      </c>
      <c r="H5" s="16" t="inlineStr"/>
    </row>
    <row r="6">
      <c r="A6" s="16" t="n">
        <v>3</v>
      </c>
      <c r="B6" s="16" t="inlineStr">
        <is>
          <t>현금매출 수수료 미수</t>
        </is>
      </c>
      <c r="C6" s="21" t="n">
        <v>2303154</v>
      </c>
      <c r="D6" s="11" t="inlineStr"/>
      <c r="E6" s="21">
        <f>C6-IF(D6="",0,D6)</f>
        <v/>
      </c>
      <c r="F6" s="21" t="inlineStr"/>
      <c r="G6" s="16" t="inlineStr">
        <is>
          <t>미수</t>
        </is>
      </c>
      <c r="H6" s="16" t="inlineStr"/>
    </row>
    <row r="7">
      <c r="A7" s="16" t="n">
        <v>4</v>
      </c>
      <c r="B7" s="16" t="inlineStr">
        <is>
          <t>관리비 미수</t>
        </is>
      </c>
      <c r="C7" s="21" t="n">
        <v>2123763</v>
      </c>
      <c r="D7" s="11" t="inlineStr"/>
      <c r="E7" s="21">
        <f>C7-IF(D7="",0,D7)</f>
        <v/>
      </c>
      <c r="F7" s="21" t="inlineStr"/>
      <c r="G7" s="16" t="inlineStr">
        <is>
          <t>미수</t>
        </is>
      </c>
      <c r="H7" s="16" t="inlineStr"/>
    </row>
    <row r="8">
      <c r="A8" s="16" t="n">
        <v>5</v>
      </c>
      <c r="B8" s="16" t="inlineStr">
        <is>
          <t>정수기 임대료 미수</t>
        </is>
      </c>
      <c r="C8" s="21" t="n">
        <v>333900</v>
      </c>
      <c r="D8" s="11" t="inlineStr"/>
      <c r="E8" s="21">
        <f>C8-IF(D8="",0,D8)</f>
        <v/>
      </c>
      <c r="F8" s="21" t="inlineStr"/>
      <c r="G8" s="16" t="inlineStr">
        <is>
          <t>미수</t>
        </is>
      </c>
      <c r="H8" s="16" t="inlineStr"/>
    </row>
    <row r="9">
      <c r="A9" s="16" t="n">
        <v>6</v>
      </c>
      <c r="B9" s="16" t="inlineStr">
        <is>
          <t>이자 (연 10%)</t>
        </is>
      </c>
      <c r="C9" s="21" t="n">
        <v>2766151</v>
      </c>
      <c r="D9" s="11" t="inlineStr"/>
      <c r="E9" s="21">
        <f>C9-IF(D9="",0,D9)</f>
        <v/>
      </c>
      <c r="F9" s="21" t="inlineStr"/>
      <c r="G9" s="16" t="inlineStr">
        <is>
          <t>미수</t>
        </is>
      </c>
      <c r="H9" s="16" t="inlineStr">
        <is>
          <t>지연이자율 연 10%</t>
        </is>
      </c>
    </row>
    <row r="10">
      <c r="A10" s="31" t="n"/>
      <c r="B10" s="31" t="inlineStr">
        <is>
          <t>합계</t>
        </is>
      </c>
      <c r="C10" s="32">
        <f>SUM(C4:C9)</f>
        <v/>
      </c>
      <c r="D10" s="32">
        <f>SUM(D4:D9)</f>
        <v/>
      </c>
      <c r="E10" s="32">
        <f>SUM(E4:E9)</f>
        <v/>
      </c>
      <c r="F10" s="32">
        <f>SUM(F4:F9)</f>
        <v/>
      </c>
      <c r="G10" s="31" t="n"/>
      <c r="H10" s="31" t="n"/>
    </row>
    <row r="12">
      <c r="A12" s="18" t="inlineStr">
        <is>
          <t>📋 미수금 차감 계획 (주간 정산에서 분할 차감)</t>
        </is>
      </c>
    </row>
    <row r="13">
      <c r="A13" s="34" t="inlineStr">
        <is>
          <t>#</t>
        </is>
      </c>
      <c r="B13" s="34" t="inlineStr">
        <is>
          <t>회차</t>
        </is>
      </c>
      <c r="C13" s="34" t="inlineStr">
        <is>
          <t>예정일</t>
        </is>
      </c>
      <c r="D13" s="34" t="inlineStr">
        <is>
          <t>차감금액</t>
        </is>
      </c>
      <c r="E13" s="34" t="inlineStr">
        <is>
          <t>차감 후 잔액</t>
        </is>
      </c>
      <c r="F13" s="34" t="inlineStr"/>
      <c r="G13" s="34" t="inlineStr"/>
      <c r="H13" s="34" t="inlineStr">
        <is>
          <t>비고</t>
        </is>
      </c>
    </row>
    <row r="14">
      <c r="A14" s="16" t="n">
        <v>1</v>
      </c>
      <c r="B14" s="16" t="inlineStr">
        <is>
          <t>1회차</t>
        </is>
      </c>
      <c r="C14" s="16" t="inlineStr">
        <is>
          <t>2026-03-02</t>
        </is>
      </c>
      <c r="D14" s="11" t="n">
        <v>6000000</v>
      </c>
      <c r="E14" s="21">
        <f>E10-D14</f>
        <v/>
      </c>
    </row>
    <row r="15">
      <c r="A15" s="16" t="n">
        <v>2</v>
      </c>
      <c r="B15" s="16" t="inlineStr">
        <is>
          <t>2회차</t>
        </is>
      </c>
      <c r="C15" s="16" t="inlineStr">
        <is>
          <t>2026-03-09</t>
        </is>
      </c>
      <c r="D15" s="11" t="n">
        <v>6000000</v>
      </c>
      <c r="E15" s="21">
        <f>E14-D15</f>
        <v/>
      </c>
    </row>
    <row r="16">
      <c r="A16" s="16" t="n">
        <v>3</v>
      </c>
      <c r="B16" s="16" t="inlineStr">
        <is>
          <t>3회차</t>
        </is>
      </c>
      <c r="C16" s="16" t="inlineStr">
        <is>
          <t>2026-03-16</t>
        </is>
      </c>
      <c r="D16" s="11" t="n">
        <v>6000000</v>
      </c>
      <c r="E16" s="21">
        <f>E15-D16</f>
        <v/>
      </c>
    </row>
    <row r="17">
      <c r="A17" s="16" t="n">
        <v>4</v>
      </c>
      <c r="B17" s="16" t="inlineStr">
        <is>
          <t>4회차</t>
        </is>
      </c>
      <c r="C17" s="16" t="inlineStr">
        <is>
          <t>2026-03-23</t>
        </is>
      </c>
      <c r="D17" s="11" t="n">
        <v>6000000</v>
      </c>
      <c r="E17" s="21">
        <f>E16-D17</f>
        <v/>
      </c>
    </row>
    <row r="18">
      <c r="A18" s="16" t="n">
        <v>5</v>
      </c>
      <c r="B18" s="16" t="inlineStr">
        <is>
          <t>5회차</t>
        </is>
      </c>
      <c r="C18" s="16" t="inlineStr">
        <is>
          <t>2026-03-30</t>
        </is>
      </c>
      <c r="D18" s="11" t="n">
        <v>6000000</v>
      </c>
      <c r="E18" s="21">
        <f>E17-D18</f>
        <v/>
      </c>
    </row>
    <row r="19">
      <c r="A19" s="16" t="n">
        <v>6</v>
      </c>
      <c r="B19" s="16" t="inlineStr">
        <is>
          <t>6회차</t>
        </is>
      </c>
      <c r="C19" s="16" t="inlineStr">
        <is>
          <t>2026-04-06</t>
        </is>
      </c>
      <c r="D19" s="11" t="n">
        <v>6000000</v>
      </c>
      <c r="E19" s="21">
        <f>E18-D19</f>
        <v/>
      </c>
    </row>
    <row r="20">
      <c r="A20" s="16" t="n">
        <v>7</v>
      </c>
      <c r="B20" s="16" t="inlineStr">
        <is>
          <t>7회차</t>
        </is>
      </c>
      <c r="C20" s="16" t="inlineStr">
        <is>
          <t>2026-04-20</t>
        </is>
      </c>
      <c r="D20" s="11" t="n">
        <v>4607598</v>
      </c>
      <c r="E20" s="21">
        <f>E19-D20</f>
        <v/>
      </c>
    </row>
  </sheetData>
  <mergeCells count="3">
    <mergeCell ref="A12:H12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2026-03-07T12:26:00Z</dcterms:created>
  <dcterms:modified xmlns:dcterms="http://purl.org/dc/terms/" xmlns:xsi="http://www.w3.org/2001/XMLSchema-instance" xsi:type="dcterms:W3CDTF">2026-03-07T12:26:00Z</dcterms:modified>
</cp:coreProperties>
</file>