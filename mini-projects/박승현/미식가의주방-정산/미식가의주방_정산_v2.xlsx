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입력" sheetId="1" state="visible" r:id="rId1"/>
    <sheet xmlns:r="http://schemas.openxmlformats.org/officeDocument/2006/relationships" name="정산 요약" sheetId="2" state="visible" r:id="rId2"/>
    <sheet xmlns:r="http://schemas.openxmlformats.org/officeDocument/2006/relationships" name="대시보드" sheetId="3" state="visible" r:id="rId3"/>
    <sheet xmlns:r="http://schemas.openxmlformats.org/officeDocument/2006/relationships" name="미수금 관리" sheetId="4" state="visible" r:id="rId4"/>
    <sheet xmlns:r="http://schemas.openxmlformats.org/officeDocument/2006/relationships" name="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6">
    <font>
      <name val="Calibri"/>
      <family val="2"/>
      <color theme="1"/>
      <sz val="11"/>
      <scheme val="minor"/>
    </font>
    <font>
      <b val="1"/>
      <color rgb="001565C0"/>
      <sz val="15"/>
    </font>
    <font>
      <color rgb="00666666"/>
      <sz val="9"/>
    </font>
    <font>
      <b val="1"/>
      <color rgb="00424242"/>
      <sz val="11"/>
    </font>
    <font>
      <color rgb="00333333"/>
      <sz val="11"/>
    </font>
    <font>
      <b val="1"/>
      <sz val="13"/>
    </font>
    <font>
      <i val="1"/>
      <color rgb="00999999"/>
      <sz val="9"/>
    </font>
    <font>
      <sz val="12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sz val="14"/>
    </font>
    <font>
      <b val="1"/>
      <sz val="11"/>
    </font>
    <font>
      <b val="1"/>
      <color rgb="00666666"/>
      <sz val="10"/>
    </font>
    <font>
      <b val="1"/>
      <color rgb="00666666"/>
      <sz val="9"/>
    </font>
    <font>
      <b val="1"/>
      <color rgb="001565C0"/>
      <sz val="16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0F0F0"/>
      </patternFill>
    </fill>
    <fill>
      <patternFill patternType="solid">
        <fgColor rgb="004CAF50"/>
      </patternFill>
    </fill>
    <fill>
      <patternFill patternType="solid">
        <fgColor rgb="00E3F2FD"/>
      </patternFill>
    </fill>
    <fill>
      <patternFill patternType="solid">
        <fgColor rgb="00424242"/>
      </patternFill>
    </fill>
    <fill>
      <patternFill patternType="solid">
        <fgColor rgb="001565C0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3" fontId="7" fillId="3" borderId="1" pivotButton="0" quotePrefix="0" xfId="0"/>
    <xf numFmtId="3" fontId="0" fillId="3" borderId="1" pivotButton="0" quotePrefix="0" xfId="0"/>
    <xf numFmtId="0" fontId="6" fillId="0" borderId="0" applyAlignment="1" pivotButton="0" quotePrefix="0" xfId="0">
      <alignment horizontal="right" vertical="center"/>
    </xf>
    <xf numFmtId="3" fontId="0" fillId="4" borderId="2" pivotButton="0" quotePrefix="0" xfId="0"/>
    <xf numFmtId="0" fontId="0" fillId="3" borderId="1" pivotButton="0" quotePrefix="0" xfId="0"/>
    <xf numFmtId="0" fontId="8" fillId="5" borderId="3" applyAlignment="1" pivotButton="0" quotePrefix="0" xfId="0">
      <alignment horizontal="center" vertical="center" wrapText="1"/>
    </xf>
    <xf numFmtId="0" fontId="0" fillId="5" borderId="3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6" borderId="0" pivotButton="0" quotePrefix="0" xfId="0"/>
    <xf numFmtId="0" fontId="0" fillId="6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3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2" fillId="6" borderId="2" applyAlignment="1" pivotButton="0" quotePrefix="0" xfId="0">
      <alignment horizontal="center" vertical="center" wrapText="1"/>
    </xf>
    <xf numFmtId="0" fontId="12" fillId="6" borderId="2" pivotButton="0" quotePrefix="0" xfId="0"/>
    <xf numFmtId="3" fontId="12" fillId="6" borderId="2" pivotButton="0" quotePrefix="0" xfId="0"/>
    <xf numFmtId="0" fontId="10" fillId="8" borderId="2" applyAlignment="1" pivotButton="0" quotePrefix="0" xfId="0">
      <alignment horizontal="center" vertical="center" wrapText="1"/>
    </xf>
    <xf numFmtId="0" fontId="10" fillId="8" borderId="2" pivotButton="0" quotePrefix="0" xfId="0"/>
    <xf numFmtId="3" fontId="10" fillId="8" borderId="2" pivotButton="0" quotePrefix="0" xfId="0"/>
    <xf numFmtId="0" fontId="13" fillId="0" borderId="0" applyAlignment="1" pivotButton="0" quotePrefix="0" xfId="0">
      <alignment horizontal="right"/>
    </xf>
    <xf numFmtId="0" fontId="11" fillId="3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15" fillId="0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0" borderId="2" applyAlignment="1" pivotButton="0" quotePrefix="0" xfId="0">
      <alignment horizontal="center" vertical="center" wrapText="1"/>
    </xf>
    <xf numFmtId="3" fontId="0" fillId="9" borderId="2" pivotButton="0" quotePrefix="0" xfId="0"/>
    <xf numFmtId="0" fontId="2" fillId="0" borderId="0" pivotButton="0" quotePrefix="0" xfId="0"/>
    <xf numFmtId="3" fontId="0" fillId="0" borderId="0" pivotButton="0" quotePrefix="0" xfId="0"/>
    <xf numFmtId="3" fontId="0" fillId="3" borderId="2" pivotButton="0" quotePrefix="0" xfId="0"/>
    <xf numFmtId="0" fontId="9" fillId="4" borderId="2" pivotButton="0" quotePrefix="0" xfId="0"/>
    <xf numFmtId="0" fontId="10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'대시보드'!B8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'대시보드'!$A$9:$A$20</f>
            </numRef>
          </cat>
          <val>
            <numRef>
              <f>'대시보드'!$B$9:$B$20</f>
            </numRef>
          </val>
        </ser>
        <ser>
          <idx val="1"/>
          <order val="1"/>
          <tx>
            <strRef>
              <f>'대시보드'!C8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'대시보드'!$A$9:$A$20</f>
            </numRef>
          </cat>
          <val>
            <numRef>
              <f>'대시보드'!$C$9:$C$20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공존공간 수익 구성</a:t>
            </a:r>
          </a:p>
        </rich>
      </tx>
    </title>
    <plotArea>
      <pieChart>
        <varyColors val="1"/>
        <ser>
          <idx val="0"/>
          <order val="0"/>
          <tx>
            <strRef>
              <f>'대시보드'!B40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'대시보드'!$A$41:$A$45</f>
            </numRef>
          </cat>
          <val>
            <numRef>
              <f>'대시보드'!$B$41:$B$45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차감 vs 미식가 지급</a:t>
            </a:r>
          </a:p>
        </rich>
      </tx>
    </title>
    <plotArea>
      <lineChart>
        <grouping val="standard"/>
        <ser>
          <idx val="0"/>
          <order val="0"/>
          <tx>
            <strRef>
              <f>'대시보드'!K8</f>
            </strRef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'대시보드'!$A$9:$A$20</f>
            </numRef>
          </cat>
          <val>
            <numRef>
              <f>'대시보드'!$K$9:$K$20</f>
            </numRef>
          </val>
        </ser>
        <ser>
          <idx val="1"/>
          <order val="1"/>
          <tx>
            <strRef>
              <f>'대시보드'!L8</f>
            </strRef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'대시보드'!$A$9:$A$20</f>
            </numRef>
          </cat>
          <val>
            <numRef>
              <f>'대시보드'!$L$9:$L$20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B1:D3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2" customWidth="1" min="4" max="4"/>
    <col width="3" customWidth="1" min="5" max="5"/>
  </cols>
  <sheetData>
    <row r="1">
      <c r="B1" s="1" t="inlineStr">
        <is>
          <t>📋 미식가의 주방 — 주간 정산 입력</t>
        </is>
      </c>
    </row>
    <row r="2">
      <c r="B2" s="2" t="inlineStr">
        <is>
          <t>🟡 노란 칸에 입력 → 하단 [전송] 버튼 클릭</t>
        </is>
      </c>
    </row>
    <row r="4">
      <c r="B4" s="3" t="inlineStr">
        <is>
          <t>📅 기본 정보</t>
        </is>
      </c>
      <c r="C4" s="4" t="n"/>
      <c r="D4" s="4" t="n"/>
    </row>
    <row r="5">
      <c r="B5" s="5" t="inlineStr">
        <is>
          <t>월</t>
        </is>
      </c>
      <c r="C5" s="6" t="n"/>
      <c r="D5" s="7" t="inlineStr">
        <is>
          <t>← 1~12</t>
        </is>
      </c>
    </row>
    <row r="6">
      <c r="B6" s="5" t="inlineStr">
        <is>
          <t>주차</t>
        </is>
      </c>
      <c r="C6" s="6" t="n"/>
      <c r="D6" s="7" t="inlineStr">
        <is>
          <t>← 1~5</t>
        </is>
      </c>
    </row>
    <row r="7">
      <c r="B7" s="5" t="inlineStr">
        <is>
          <t>시작일</t>
        </is>
      </c>
      <c r="C7" s="8" t="n"/>
      <c r="D7" s="7" t="inlineStr">
        <is>
          <t>← 예: 3/3</t>
        </is>
      </c>
    </row>
    <row r="8">
      <c r="B8" s="5" t="inlineStr">
        <is>
          <t>종료일</t>
        </is>
      </c>
      <c r="C8" s="8" t="n"/>
      <c r="D8" s="7" t="inlineStr">
        <is>
          <t>← 예: 3/9</t>
        </is>
      </c>
    </row>
    <row r="10">
      <c r="B10" s="3" t="inlineStr">
        <is>
          <t>💰 매출</t>
        </is>
      </c>
      <c r="C10" s="4" t="n"/>
      <c r="D10" s="4" t="n"/>
    </row>
    <row r="11">
      <c r="B11" s="5" t="inlineStr">
        <is>
          <t>카드매출</t>
        </is>
      </c>
      <c r="C11" s="9" t="n"/>
      <c r="D11" s="7" t="inlineStr">
        <is>
          <t>원  (POS 카드 매출액)</t>
        </is>
      </c>
    </row>
    <row r="12">
      <c r="B12" s="5" t="inlineStr">
        <is>
          <t>현금매출</t>
        </is>
      </c>
      <c r="C12" s="9" t="n"/>
      <c r="D12" s="7" t="inlineStr">
        <is>
          <t>원  (POS 현금 매출액)</t>
        </is>
      </c>
    </row>
    <row r="14">
      <c r="B14" s="3" t="inlineStr">
        <is>
          <t>⚡ 공과금  (3주차에 지난달분 입력)</t>
        </is>
      </c>
      <c r="C14" s="4" t="n"/>
      <c r="D14" s="4" t="n"/>
    </row>
    <row r="15">
      <c r="B15" s="5" t="inlineStr">
        <is>
          <t>전기요금</t>
        </is>
      </c>
      <c r="C15" s="10" t="n"/>
      <c r="D15" s="7" t="inlineStr">
        <is>
          <t>원  (고지서 금액 그대로)</t>
        </is>
      </c>
    </row>
    <row r="16">
      <c r="B16" s="5" t="inlineStr">
        <is>
          <t>가스요금</t>
        </is>
      </c>
      <c r="C16" s="10" t="n"/>
      <c r="D16" s="7" t="inlineStr">
        <is>
          <t>원  (고지서 금액 그대로)</t>
        </is>
      </c>
    </row>
    <row r="17">
      <c r="B17" s="5" t="inlineStr">
        <is>
          <t>수도요금</t>
        </is>
      </c>
      <c r="C17" s="10" t="n"/>
      <c r="D17" s="7" t="inlineStr">
        <is>
          <t>원  (고지서 금액 그대로)</t>
        </is>
      </c>
    </row>
    <row r="18">
      <c r="B18" s="11" t="inlineStr">
        <is>
          <t>→ 95% 자동계산</t>
        </is>
      </c>
      <c r="C18" s="12">
        <f>IF(AND(C15="",C16="",C17=""),"",(IF(C15="",0,C15)+IF(C16="",0,C16)+IF(C17="",0,C17))*0.95)</f>
        <v/>
      </c>
      <c r="D18" s="7" t="inlineStr">
        <is>
          <t>← 미식가 부담분</t>
        </is>
      </c>
    </row>
    <row r="20">
      <c r="B20" s="3" t="inlineStr">
        <is>
          <t>📝 기타  (발생할 때만)</t>
        </is>
      </c>
      <c r="C20" s="4" t="n"/>
      <c r="D20" s="4" t="n"/>
    </row>
    <row r="21">
      <c r="B21" s="5" t="inlineStr">
        <is>
          <t>정화조</t>
        </is>
      </c>
      <c r="C21" s="10" t="n"/>
      <c r="D21" s="7" t="inlineStr">
        <is>
          <t>연 2회 발생 시</t>
        </is>
      </c>
    </row>
    <row r="22">
      <c r="B22" s="5" t="inlineStr">
        <is>
          <t>회식매출</t>
        </is>
      </c>
      <c r="C22" s="10" t="n"/>
      <c r="D22" s="7" t="inlineStr">
        <is>
          <t>재생전골 연계 등</t>
        </is>
      </c>
    </row>
    <row r="23">
      <c r="B23" s="5" t="inlineStr">
        <is>
          <t>기타비용</t>
        </is>
      </c>
      <c r="C23" s="10" t="n"/>
      <c r="D23" s="7" t="inlineStr">
        <is>
          <t>그 외 비용</t>
        </is>
      </c>
    </row>
    <row r="24">
      <c r="B24" s="5" t="inlineStr">
        <is>
          <t>비고</t>
        </is>
      </c>
      <c r="C24" s="13" t="n"/>
      <c r="D24" s="7" t="inlineStr">
        <is>
          <t>특이사항 메모</t>
        </is>
      </c>
    </row>
    <row r="26">
      <c r="B26" s="14" t="inlineStr">
        <is>
          <t>▶  전송 (구글시트에서 버튼으로 전환)</t>
        </is>
      </c>
      <c r="C26" s="15" t="n"/>
      <c r="D26" s="15" t="n"/>
    </row>
    <row r="27">
      <c r="B27" s="16" t="inlineStr">
        <is>
          <t>↑ 구글시트 업로드 후 Apps Script로 버튼 연결하세요</t>
        </is>
      </c>
    </row>
    <row r="29">
      <c r="B29" s="17" t="inlineStr">
        <is>
          <t>📌 최근 전송 기록 (최근 5건)</t>
        </is>
      </c>
      <c r="C29" s="18" t="n"/>
      <c r="D29" s="18" t="n"/>
    </row>
    <row r="30">
      <c r="B30" s="19" t="inlineStr">
        <is>
          <t>월/주</t>
        </is>
      </c>
      <c r="C30" s="19" t="inlineStr">
        <is>
          <t>카드매출</t>
        </is>
      </c>
      <c r="D30" s="19" t="inlineStr">
        <is>
          <t>현금매출</t>
        </is>
      </c>
    </row>
    <row r="31">
      <c r="B31" s="20">
        <f>IF(데이터!A2="","",데이터!A2&amp;"월 "&amp;데이터!B2&amp;"주")</f>
        <v/>
      </c>
      <c r="C31" s="21">
        <f>IF(데이터!A2="","",데이터!E2)</f>
        <v/>
      </c>
      <c r="D31" s="21">
        <f>IF(데이터!A2="","",데이터!F2)</f>
        <v/>
      </c>
    </row>
    <row r="32">
      <c r="B32" s="20">
        <f>IF(데이터!A3="","",데이터!A3&amp;"월 "&amp;데이터!B3&amp;"주")</f>
        <v/>
      </c>
      <c r="C32" s="21">
        <f>IF(데이터!A3="","",데이터!E3)</f>
        <v/>
      </c>
      <c r="D32" s="21">
        <f>IF(데이터!A3="","",데이터!F3)</f>
        <v/>
      </c>
    </row>
    <row r="33">
      <c r="B33" s="20">
        <f>IF(데이터!A4="","",데이터!A4&amp;"월 "&amp;데이터!B4&amp;"주")</f>
        <v/>
      </c>
      <c r="C33" s="21">
        <f>IF(데이터!A4="","",데이터!E4)</f>
        <v/>
      </c>
      <c r="D33" s="21">
        <f>IF(데이터!A4="","",데이터!F4)</f>
        <v/>
      </c>
    </row>
    <row r="34">
      <c r="B34" s="20">
        <f>IF(데이터!A5="","",데이터!A5&amp;"월 "&amp;데이터!B5&amp;"주")</f>
        <v/>
      </c>
      <c r="C34" s="21">
        <f>IF(데이터!A5="","",데이터!E5)</f>
        <v/>
      </c>
      <c r="D34" s="21">
        <f>IF(데이터!A5="","",데이터!F5)</f>
        <v/>
      </c>
    </row>
    <row r="35">
      <c r="B35" s="20">
        <f>IF(데이터!A6="","",데이터!A6&amp;"월 "&amp;데이터!B6&amp;"주")</f>
        <v/>
      </c>
      <c r="C35" s="21">
        <f>IF(데이터!A6="","",데이터!E6)</f>
        <v/>
      </c>
      <c r="D35" s="21">
        <f>IF(데이터!A6="","",데이터!F6)</f>
        <v/>
      </c>
    </row>
  </sheetData>
  <mergeCells count="9">
    <mergeCell ref="B10:D10"/>
    <mergeCell ref="B14:D14"/>
    <mergeCell ref="B1:D1"/>
    <mergeCell ref="B4:D4"/>
    <mergeCell ref="B26:D26"/>
    <mergeCell ref="B27:D27"/>
    <mergeCell ref="B29:D29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T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1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6" customWidth="1" min="17" max="17"/>
    <col width="16" customWidth="1" min="18" max="18"/>
    <col width="14" customWidth="1" min="19" max="19"/>
    <col width="18" customWidth="1" min="20" max="20"/>
  </cols>
  <sheetData>
    <row r="1">
      <c r="A1" s="22" t="inlineStr">
        <is>
          <t>미식가의 주방 — 주간 정산 요약 (2026년)</t>
        </is>
      </c>
    </row>
    <row r="2">
      <c r="A2" s="2" t="inlineStr">
        <is>
          <t>⬜ 전체 자동 — 입력 데이터에서 자동 계산   |   3주차=공과금 / 4주차=임대료+관리비</t>
        </is>
      </c>
    </row>
    <row r="3">
      <c r="A3" s="19" t="inlineStr">
        <is>
          <t>월</t>
        </is>
      </c>
      <c r="B3" s="19" t="inlineStr">
        <is>
          <t>주</t>
        </is>
      </c>
      <c r="C3" s="19" t="inlineStr">
        <is>
          <t>시작일</t>
        </is>
      </c>
      <c r="D3" s="19" t="inlineStr">
        <is>
          <t>종료일</t>
        </is>
      </c>
      <c r="E3" s="19" t="inlineStr">
        <is>
          <t>카드매출</t>
        </is>
      </c>
      <c r="F3" s="19" t="inlineStr">
        <is>
          <t>현금매출</t>
        </is>
      </c>
      <c r="G3" s="19" t="inlineStr">
        <is>
          <t>총매출</t>
        </is>
      </c>
      <c r="H3" s="19" t="inlineStr">
        <is>
          <t>카드수수료
(15%)</t>
        </is>
      </c>
      <c r="I3" s="19" t="inlineStr">
        <is>
          <t>현금수수료
(13%)</t>
        </is>
      </c>
      <c r="J3" s="19" t="inlineStr">
        <is>
          <t>수수료합계</t>
        </is>
      </c>
      <c r="K3" s="19" t="inlineStr">
        <is>
          <t>수수료
VAT</t>
        </is>
      </c>
      <c r="L3" s="19" t="inlineStr">
        <is>
          <t>임대료</t>
        </is>
      </c>
      <c r="M3" s="19" t="inlineStr">
        <is>
          <t>임대료
VAT</t>
        </is>
      </c>
      <c r="N3" s="19" t="inlineStr">
        <is>
          <t>관리비+
고정비</t>
        </is>
      </c>
      <c r="O3" s="19" t="inlineStr">
        <is>
          <t>공과금
(95%)</t>
        </is>
      </c>
      <c r="P3" s="19" t="inlineStr">
        <is>
          <t>기타비용</t>
        </is>
      </c>
      <c r="Q3" s="19" t="inlineStr">
        <is>
          <t>총 차감액</t>
        </is>
      </c>
      <c r="R3" s="19" t="inlineStr">
        <is>
          <t>미식가
카드지급</t>
        </is>
      </c>
      <c r="S3" s="19" t="inlineStr">
        <is>
          <t>현금
수령액</t>
        </is>
      </c>
      <c r="T3" s="19" t="inlineStr">
        <is>
          <t>비고</t>
        </is>
      </c>
    </row>
    <row r="4">
      <c r="A4" s="23" t="n">
        <v>1</v>
      </c>
      <c r="B4" s="23" t="n">
        <v>1</v>
      </c>
      <c r="C4" s="24">
        <f>IFERROR(SUMPRODUCT((데이터!$A$2:$A$200=1)*(데이터!$B$2:$B$200=1)*데이터!$C$2:$C$200),"")</f>
        <v/>
      </c>
      <c r="D4" s="24">
        <f>IFERROR(SUMPRODUCT((데이터!$A$2:$A$200=1)*(데이터!$B$2:$B$200=1)*데이터!$D$2:$D$200),"")</f>
        <v/>
      </c>
      <c r="E4" s="12">
        <f>SUMPRODUCT((데이터!$A$2:$A$200=1)*(데이터!$B$2:$B$200=1)*데이터!$E$2:$E$200)</f>
        <v/>
      </c>
      <c r="F4" s="12">
        <f>SUMPRODUCT((데이터!$A$2:$A$200=1)*(데이터!$B$2:$B$200=1)*데이터!$F$2:$F$200)</f>
        <v/>
      </c>
      <c r="G4" s="12">
        <f>IF(E4=0,"",E4+F4)</f>
        <v/>
      </c>
      <c r="H4" s="12">
        <f>IF(E4=0,"",E4*0.15)</f>
        <v/>
      </c>
      <c r="I4" s="12">
        <f>IF(E4=0,"",F4*0.13)</f>
        <v/>
      </c>
      <c r="J4" s="12">
        <f>IF(E4=0,"",H4+I4)</f>
        <v/>
      </c>
      <c r="K4" s="12">
        <f>IF(E4=0,"",J4*0.1)</f>
        <v/>
      </c>
      <c r="L4" s="12">
        <f>IF(AND(E4&lt;&gt;0,B4=4),3000000,0)</f>
        <v/>
      </c>
      <c r="M4" s="12">
        <f>IF(L4=0,0,L4*0.1)</f>
        <v/>
      </c>
      <c r="N4" s="12">
        <f>IF(AND(E4&lt;&gt;0,B4=4),120900,0)</f>
        <v/>
      </c>
      <c r="O4" s="12">
        <f>(SUMPRODUCT((데이터!$A$2:$A$200=1)*(데이터!$B$2:$B$200=1)*데이터!$G$2:$G$200)+SUMPRODUCT((데이터!$A$2:$A$200=1)*(데이터!$B$2:$B$200=1)*데이터!$H$2:$H$200)+SUMPRODUCT((데이터!$A$2:$A$200=1)*(데이터!$B$2:$B$200=1)*데이터!$I$2:$I$200))*0.95</f>
        <v/>
      </c>
      <c r="P4" s="12">
        <f>SUMPRODUCT((데이터!$A$2:$A$200=1)*(데이터!$B$2:$B$200=1)*데이터!$J$2:$J$200)+SUMPRODUCT((데이터!$A$2:$A$200=1)*(데이터!$B$2:$B$200=1)*데이터!$K$2:$K$200)*0.05+SUMPRODUCT((데이터!$A$2:$A$200=1)*(데이터!$B$2:$B$200=1)*데이터!$L$2:$L$200)</f>
        <v/>
      </c>
      <c r="Q4" s="12">
        <f>IF(E4=0,"",J4+K4+L4+M4+N4+O4+P4)</f>
        <v/>
      </c>
      <c r="R4" s="12">
        <f>IF(E4=0,"",E4-Q4)</f>
        <v/>
      </c>
      <c r="S4" s="12">
        <f>IF(E4=0,"",F4-I4-I4*0.1)</f>
        <v/>
      </c>
      <c r="T4" s="24">
        <f>IFERROR(INDEX(데이터!$M$2:$M$200,MATCH(1,(데이터!$A$2:$A$200=1)*(데이터!$B$2:$B$200=1),0)),"")</f>
        <v/>
      </c>
    </row>
    <row r="5">
      <c r="A5" s="23" t="n">
        <v>1</v>
      </c>
      <c r="B5" s="23" t="n">
        <v>2</v>
      </c>
      <c r="C5" s="24">
        <f>IFERROR(SUMPRODUCT((데이터!$A$2:$A$200=1)*(데이터!$B$2:$B$200=2)*데이터!$C$2:$C$200),"")</f>
        <v/>
      </c>
      <c r="D5" s="24">
        <f>IFERROR(SUMPRODUCT((데이터!$A$2:$A$200=1)*(데이터!$B$2:$B$200=2)*데이터!$D$2:$D$200),"")</f>
        <v/>
      </c>
      <c r="E5" s="12">
        <f>SUMPRODUCT((데이터!$A$2:$A$200=1)*(데이터!$B$2:$B$200=2)*데이터!$E$2:$E$200)</f>
        <v/>
      </c>
      <c r="F5" s="12">
        <f>SUMPRODUCT((데이터!$A$2:$A$200=1)*(데이터!$B$2:$B$200=2)*데이터!$F$2:$F$200)</f>
        <v/>
      </c>
      <c r="G5" s="12">
        <f>IF(E5=0,"",E5+F5)</f>
        <v/>
      </c>
      <c r="H5" s="12">
        <f>IF(E5=0,"",E5*0.15)</f>
        <v/>
      </c>
      <c r="I5" s="12">
        <f>IF(E5=0,"",F5*0.13)</f>
        <v/>
      </c>
      <c r="J5" s="12">
        <f>IF(E5=0,"",H5+I5)</f>
        <v/>
      </c>
      <c r="K5" s="12">
        <f>IF(E5=0,"",J5*0.1)</f>
        <v/>
      </c>
      <c r="L5" s="12">
        <f>IF(AND(E5&lt;&gt;0,B5=4),3000000,0)</f>
        <v/>
      </c>
      <c r="M5" s="12">
        <f>IF(L5=0,0,L5*0.1)</f>
        <v/>
      </c>
      <c r="N5" s="12">
        <f>IF(AND(E5&lt;&gt;0,B5=4),120900,0)</f>
        <v/>
      </c>
      <c r="O5" s="12">
        <f>(SUMPRODUCT((데이터!$A$2:$A$200=1)*(데이터!$B$2:$B$200=2)*데이터!$G$2:$G$200)+SUMPRODUCT((데이터!$A$2:$A$200=1)*(데이터!$B$2:$B$200=2)*데이터!$H$2:$H$200)+SUMPRODUCT((데이터!$A$2:$A$200=1)*(데이터!$B$2:$B$200=2)*데이터!$I$2:$I$200))*0.95</f>
        <v/>
      </c>
      <c r="P5" s="12">
        <f>SUMPRODUCT((데이터!$A$2:$A$200=1)*(데이터!$B$2:$B$200=2)*데이터!$J$2:$J$200)+SUMPRODUCT((데이터!$A$2:$A$200=1)*(데이터!$B$2:$B$200=2)*데이터!$K$2:$K$200)*0.05+SUMPRODUCT((데이터!$A$2:$A$200=1)*(데이터!$B$2:$B$200=2)*데이터!$L$2:$L$200)</f>
        <v/>
      </c>
      <c r="Q5" s="12">
        <f>IF(E5=0,"",J5+K5+L5+M5+N5+O5+P5)</f>
        <v/>
      </c>
      <c r="R5" s="12">
        <f>IF(E5=0,"",E5-Q5)</f>
        <v/>
      </c>
      <c r="S5" s="12">
        <f>IF(E5=0,"",F5-I5-I5*0.1)</f>
        <v/>
      </c>
      <c r="T5" s="24">
        <f>IFERROR(INDEX(데이터!$M$2:$M$200,MATCH(1,(데이터!$A$2:$A$200=1)*(데이터!$B$2:$B$200=2),0)),"")</f>
        <v/>
      </c>
    </row>
    <row r="6">
      <c r="A6" s="23" t="n">
        <v>1</v>
      </c>
      <c r="B6" s="23" t="n">
        <v>3</v>
      </c>
      <c r="C6" s="24">
        <f>IFERROR(SUMPRODUCT((데이터!$A$2:$A$200=1)*(데이터!$B$2:$B$200=3)*데이터!$C$2:$C$200),"")</f>
        <v/>
      </c>
      <c r="D6" s="24">
        <f>IFERROR(SUMPRODUCT((데이터!$A$2:$A$200=1)*(데이터!$B$2:$B$200=3)*데이터!$D$2:$D$200),"")</f>
        <v/>
      </c>
      <c r="E6" s="12">
        <f>SUMPRODUCT((데이터!$A$2:$A$200=1)*(데이터!$B$2:$B$200=3)*데이터!$E$2:$E$200)</f>
        <v/>
      </c>
      <c r="F6" s="12">
        <f>SUMPRODUCT((데이터!$A$2:$A$200=1)*(데이터!$B$2:$B$200=3)*데이터!$F$2:$F$200)</f>
        <v/>
      </c>
      <c r="G6" s="12">
        <f>IF(E6=0,"",E6+F6)</f>
        <v/>
      </c>
      <c r="H6" s="12">
        <f>IF(E6=0,"",E6*0.15)</f>
        <v/>
      </c>
      <c r="I6" s="12">
        <f>IF(E6=0,"",F6*0.13)</f>
        <v/>
      </c>
      <c r="J6" s="12">
        <f>IF(E6=0,"",H6+I6)</f>
        <v/>
      </c>
      <c r="K6" s="12">
        <f>IF(E6=0,"",J6*0.1)</f>
        <v/>
      </c>
      <c r="L6" s="12">
        <f>IF(AND(E6&lt;&gt;0,B6=4),3000000,0)</f>
        <v/>
      </c>
      <c r="M6" s="12">
        <f>IF(L6=0,0,L6*0.1)</f>
        <v/>
      </c>
      <c r="N6" s="12">
        <f>IF(AND(E6&lt;&gt;0,B6=4),120900,0)</f>
        <v/>
      </c>
      <c r="O6" s="12">
        <f>(SUMPRODUCT((데이터!$A$2:$A$200=1)*(데이터!$B$2:$B$200=3)*데이터!$G$2:$G$200)+SUMPRODUCT((데이터!$A$2:$A$200=1)*(데이터!$B$2:$B$200=3)*데이터!$H$2:$H$200)+SUMPRODUCT((데이터!$A$2:$A$200=1)*(데이터!$B$2:$B$200=3)*데이터!$I$2:$I$200))*0.95</f>
        <v/>
      </c>
      <c r="P6" s="12">
        <f>SUMPRODUCT((데이터!$A$2:$A$200=1)*(데이터!$B$2:$B$200=3)*데이터!$J$2:$J$200)+SUMPRODUCT((데이터!$A$2:$A$200=1)*(데이터!$B$2:$B$200=3)*데이터!$K$2:$K$200)*0.05+SUMPRODUCT((데이터!$A$2:$A$200=1)*(데이터!$B$2:$B$200=3)*데이터!$L$2:$L$200)</f>
        <v/>
      </c>
      <c r="Q6" s="12">
        <f>IF(E6=0,"",J6+K6+L6+M6+N6+O6+P6)</f>
        <v/>
      </c>
      <c r="R6" s="12">
        <f>IF(E6=0,"",E6-Q6)</f>
        <v/>
      </c>
      <c r="S6" s="12">
        <f>IF(E6=0,"",F6-I6-I6*0.1)</f>
        <v/>
      </c>
      <c r="T6" s="24">
        <f>IFERROR(INDEX(데이터!$M$2:$M$200,MATCH(1,(데이터!$A$2:$A$200=1)*(데이터!$B$2:$B$200=3),0)),"")</f>
        <v/>
      </c>
    </row>
    <row r="7">
      <c r="A7" s="23" t="n">
        <v>1</v>
      </c>
      <c r="B7" s="23" t="n">
        <v>4</v>
      </c>
      <c r="C7" s="24">
        <f>IFERROR(SUMPRODUCT((데이터!$A$2:$A$200=1)*(데이터!$B$2:$B$200=4)*데이터!$C$2:$C$200),"")</f>
        <v/>
      </c>
      <c r="D7" s="24">
        <f>IFERROR(SUMPRODUCT((데이터!$A$2:$A$200=1)*(데이터!$B$2:$B$200=4)*데이터!$D$2:$D$200),"")</f>
        <v/>
      </c>
      <c r="E7" s="12">
        <f>SUMPRODUCT((데이터!$A$2:$A$200=1)*(데이터!$B$2:$B$200=4)*데이터!$E$2:$E$200)</f>
        <v/>
      </c>
      <c r="F7" s="12">
        <f>SUMPRODUCT((데이터!$A$2:$A$200=1)*(데이터!$B$2:$B$200=4)*데이터!$F$2:$F$200)</f>
        <v/>
      </c>
      <c r="G7" s="12">
        <f>IF(E7=0,"",E7+F7)</f>
        <v/>
      </c>
      <c r="H7" s="12">
        <f>IF(E7=0,"",E7*0.15)</f>
        <v/>
      </c>
      <c r="I7" s="12">
        <f>IF(E7=0,"",F7*0.13)</f>
        <v/>
      </c>
      <c r="J7" s="12">
        <f>IF(E7=0,"",H7+I7)</f>
        <v/>
      </c>
      <c r="K7" s="12">
        <f>IF(E7=0,"",J7*0.1)</f>
        <v/>
      </c>
      <c r="L7" s="12">
        <f>IF(AND(E7&lt;&gt;0,B7=4),3000000,0)</f>
        <v/>
      </c>
      <c r="M7" s="12">
        <f>IF(L7=0,0,L7*0.1)</f>
        <v/>
      </c>
      <c r="N7" s="12">
        <f>IF(AND(E7&lt;&gt;0,B7=4),120900,0)</f>
        <v/>
      </c>
      <c r="O7" s="12">
        <f>(SUMPRODUCT((데이터!$A$2:$A$200=1)*(데이터!$B$2:$B$200=4)*데이터!$G$2:$G$200)+SUMPRODUCT((데이터!$A$2:$A$200=1)*(데이터!$B$2:$B$200=4)*데이터!$H$2:$H$200)+SUMPRODUCT((데이터!$A$2:$A$200=1)*(데이터!$B$2:$B$200=4)*데이터!$I$2:$I$200))*0.95</f>
        <v/>
      </c>
      <c r="P7" s="12">
        <f>SUMPRODUCT((데이터!$A$2:$A$200=1)*(데이터!$B$2:$B$200=4)*데이터!$J$2:$J$200)+SUMPRODUCT((데이터!$A$2:$A$200=1)*(데이터!$B$2:$B$200=4)*데이터!$K$2:$K$200)*0.05+SUMPRODUCT((데이터!$A$2:$A$200=1)*(데이터!$B$2:$B$200=4)*데이터!$L$2:$L$200)</f>
        <v/>
      </c>
      <c r="Q7" s="12">
        <f>IF(E7=0,"",J7+K7+L7+M7+N7+O7+P7)</f>
        <v/>
      </c>
      <c r="R7" s="12">
        <f>IF(E7=0,"",E7-Q7)</f>
        <v/>
      </c>
      <c r="S7" s="12">
        <f>IF(E7=0,"",F7-I7-I7*0.1)</f>
        <v/>
      </c>
      <c r="T7" s="24">
        <f>IFERROR(INDEX(데이터!$M$2:$M$200,MATCH(1,(데이터!$A$2:$A$200=1)*(데이터!$B$2:$B$200=4),0)),"")</f>
        <v/>
      </c>
    </row>
    <row r="8">
      <c r="A8" s="23" t="n">
        <v>1</v>
      </c>
      <c r="B8" s="23" t="n">
        <v>5</v>
      </c>
      <c r="C8" s="24">
        <f>IFERROR(SUMPRODUCT((데이터!$A$2:$A$200=1)*(데이터!$B$2:$B$200=5)*데이터!$C$2:$C$200),"")</f>
        <v/>
      </c>
      <c r="D8" s="24">
        <f>IFERROR(SUMPRODUCT((데이터!$A$2:$A$200=1)*(데이터!$B$2:$B$200=5)*데이터!$D$2:$D$200),"")</f>
        <v/>
      </c>
      <c r="E8" s="12">
        <f>SUMPRODUCT((데이터!$A$2:$A$200=1)*(데이터!$B$2:$B$200=5)*데이터!$E$2:$E$200)</f>
        <v/>
      </c>
      <c r="F8" s="12">
        <f>SUMPRODUCT((데이터!$A$2:$A$200=1)*(데이터!$B$2:$B$200=5)*데이터!$F$2:$F$200)</f>
        <v/>
      </c>
      <c r="G8" s="12">
        <f>IF(E8=0,"",E8+F8)</f>
        <v/>
      </c>
      <c r="H8" s="12">
        <f>IF(E8=0,"",E8*0.15)</f>
        <v/>
      </c>
      <c r="I8" s="12">
        <f>IF(E8=0,"",F8*0.13)</f>
        <v/>
      </c>
      <c r="J8" s="12">
        <f>IF(E8=0,"",H8+I8)</f>
        <v/>
      </c>
      <c r="K8" s="12">
        <f>IF(E8=0,"",J8*0.1)</f>
        <v/>
      </c>
      <c r="L8" s="12">
        <f>IF(AND(E8&lt;&gt;0,B8=4),3000000,0)</f>
        <v/>
      </c>
      <c r="M8" s="12">
        <f>IF(L8=0,0,L8*0.1)</f>
        <v/>
      </c>
      <c r="N8" s="12">
        <f>IF(AND(E8&lt;&gt;0,B8=4),120900,0)</f>
        <v/>
      </c>
      <c r="O8" s="12">
        <f>(SUMPRODUCT((데이터!$A$2:$A$200=1)*(데이터!$B$2:$B$200=5)*데이터!$G$2:$G$200)+SUMPRODUCT((데이터!$A$2:$A$200=1)*(데이터!$B$2:$B$200=5)*데이터!$H$2:$H$200)+SUMPRODUCT((데이터!$A$2:$A$200=1)*(데이터!$B$2:$B$200=5)*데이터!$I$2:$I$200))*0.95</f>
        <v/>
      </c>
      <c r="P8" s="12">
        <f>SUMPRODUCT((데이터!$A$2:$A$200=1)*(데이터!$B$2:$B$200=5)*데이터!$J$2:$J$200)+SUMPRODUCT((데이터!$A$2:$A$200=1)*(데이터!$B$2:$B$200=5)*데이터!$K$2:$K$200)*0.05+SUMPRODUCT((데이터!$A$2:$A$200=1)*(데이터!$B$2:$B$200=5)*데이터!$L$2:$L$200)</f>
        <v/>
      </c>
      <c r="Q8" s="12">
        <f>IF(E8=0,"",J8+K8+L8+M8+N8+O8+P8)</f>
        <v/>
      </c>
      <c r="R8" s="12">
        <f>IF(E8=0,"",E8-Q8)</f>
        <v/>
      </c>
      <c r="S8" s="12">
        <f>IF(E8=0,"",F8-I8-I8*0.1)</f>
        <v/>
      </c>
      <c r="T8" s="24">
        <f>IFERROR(INDEX(데이터!$M$2:$M$200,MATCH(1,(데이터!$A$2:$A$200=1)*(데이터!$B$2:$B$200=5),0)),"")</f>
        <v/>
      </c>
    </row>
    <row r="9">
      <c r="A9" s="25" t="inlineStr">
        <is>
          <t>1월</t>
        </is>
      </c>
      <c r="B9" s="25" t="inlineStr">
        <is>
          <t>소계</t>
        </is>
      </c>
      <c r="C9" s="26" t="n"/>
      <c r="D9" s="26" t="n"/>
      <c r="E9" s="27">
        <f>SUM(E4:E8)</f>
        <v/>
      </c>
      <c r="F9" s="27">
        <f>SUM(F4:F8)</f>
        <v/>
      </c>
      <c r="G9" s="27">
        <f>SUM(G4:G8)</f>
        <v/>
      </c>
      <c r="H9" s="27">
        <f>SUM(H4:H8)</f>
        <v/>
      </c>
      <c r="I9" s="27">
        <f>SUM(I4:I8)</f>
        <v/>
      </c>
      <c r="J9" s="27">
        <f>SUM(J4:J8)</f>
        <v/>
      </c>
      <c r="K9" s="27">
        <f>SUM(K4:K8)</f>
        <v/>
      </c>
      <c r="L9" s="27">
        <f>SUM(L4:L8)</f>
        <v/>
      </c>
      <c r="M9" s="27">
        <f>SUM(M4:M8)</f>
        <v/>
      </c>
      <c r="N9" s="27">
        <f>SUM(N4:N8)</f>
        <v/>
      </c>
      <c r="O9" s="27">
        <f>SUM(O4:O8)</f>
        <v/>
      </c>
      <c r="P9" s="27">
        <f>SUM(P4:P8)</f>
        <v/>
      </c>
      <c r="Q9" s="27">
        <f>SUM(Q4:Q8)</f>
        <v/>
      </c>
      <c r="R9" s="27">
        <f>SUM(R4:R8)</f>
        <v/>
      </c>
      <c r="S9" s="27">
        <f>SUM(S4:S8)</f>
        <v/>
      </c>
      <c r="T9" s="26" t="n"/>
    </row>
    <row r="10">
      <c r="A10" s="23" t="n">
        <v>2</v>
      </c>
      <c r="B10" s="23" t="n">
        <v>1</v>
      </c>
      <c r="C10" s="24">
        <f>IFERROR(SUMPRODUCT((데이터!$A$2:$A$200=2)*(데이터!$B$2:$B$200=1)*데이터!$C$2:$C$200),"")</f>
        <v/>
      </c>
      <c r="D10" s="24">
        <f>IFERROR(SUMPRODUCT((데이터!$A$2:$A$200=2)*(데이터!$B$2:$B$200=1)*데이터!$D$2:$D$200),"")</f>
        <v/>
      </c>
      <c r="E10" s="12">
        <f>SUMPRODUCT((데이터!$A$2:$A$200=2)*(데이터!$B$2:$B$200=1)*데이터!$E$2:$E$200)</f>
        <v/>
      </c>
      <c r="F10" s="12">
        <f>SUMPRODUCT((데이터!$A$2:$A$200=2)*(데이터!$B$2:$B$200=1)*데이터!$F$2:$F$200)</f>
        <v/>
      </c>
      <c r="G10" s="12">
        <f>IF(E10=0,"",E10+F10)</f>
        <v/>
      </c>
      <c r="H10" s="12">
        <f>IF(E10=0,"",E10*0.15)</f>
        <v/>
      </c>
      <c r="I10" s="12">
        <f>IF(E10=0,"",F10*0.13)</f>
        <v/>
      </c>
      <c r="J10" s="12">
        <f>IF(E10=0,"",H10+I10)</f>
        <v/>
      </c>
      <c r="K10" s="12">
        <f>IF(E10=0,"",J10*0.1)</f>
        <v/>
      </c>
      <c r="L10" s="12">
        <f>IF(AND(E10&lt;&gt;0,B10=4),3000000,0)</f>
        <v/>
      </c>
      <c r="M10" s="12">
        <f>IF(L10=0,0,L10*0.1)</f>
        <v/>
      </c>
      <c r="N10" s="12">
        <f>IF(AND(E10&lt;&gt;0,B10=4),120900,0)</f>
        <v/>
      </c>
      <c r="O10" s="12">
        <f>(SUMPRODUCT((데이터!$A$2:$A$200=2)*(데이터!$B$2:$B$200=1)*데이터!$G$2:$G$200)+SUMPRODUCT((데이터!$A$2:$A$200=2)*(데이터!$B$2:$B$200=1)*데이터!$H$2:$H$200)+SUMPRODUCT((데이터!$A$2:$A$200=2)*(데이터!$B$2:$B$200=1)*데이터!$I$2:$I$200))*0.95</f>
        <v/>
      </c>
      <c r="P10" s="12">
        <f>SUMPRODUCT((데이터!$A$2:$A$200=2)*(데이터!$B$2:$B$200=1)*데이터!$J$2:$J$200)+SUMPRODUCT((데이터!$A$2:$A$200=2)*(데이터!$B$2:$B$200=1)*데이터!$K$2:$K$200)*0.05+SUMPRODUCT((데이터!$A$2:$A$200=2)*(데이터!$B$2:$B$200=1)*데이터!$L$2:$L$200)</f>
        <v/>
      </c>
      <c r="Q10" s="12">
        <f>IF(E10=0,"",J10+K10+L10+M10+N10+O10+P10)</f>
        <v/>
      </c>
      <c r="R10" s="12">
        <f>IF(E10=0,"",E10-Q10)</f>
        <v/>
      </c>
      <c r="S10" s="12">
        <f>IF(E10=0,"",F10-I10-I10*0.1)</f>
        <v/>
      </c>
      <c r="T10" s="24">
        <f>IFERROR(INDEX(데이터!$M$2:$M$200,MATCH(1,(데이터!$A$2:$A$200=2)*(데이터!$B$2:$B$200=1),0)),"")</f>
        <v/>
      </c>
    </row>
    <row r="11">
      <c r="A11" s="23" t="n">
        <v>2</v>
      </c>
      <c r="B11" s="23" t="n">
        <v>2</v>
      </c>
      <c r="C11" s="24">
        <f>IFERROR(SUMPRODUCT((데이터!$A$2:$A$200=2)*(데이터!$B$2:$B$200=2)*데이터!$C$2:$C$200),"")</f>
        <v/>
      </c>
      <c r="D11" s="24">
        <f>IFERROR(SUMPRODUCT((데이터!$A$2:$A$200=2)*(데이터!$B$2:$B$200=2)*데이터!$D$2:$D$200),"")</f>
        <v/>
      </c>
      <c r="E11" s="12">
        <f>SUMPRODUCT((데이터!$A$2:$A$200=2)*(데이터!$B$2:$B$200=2)*데이터!$E$2:$E$200)</f>
        <v/>
      </c>
      <c r="F11" s="12">
        <f>SUMPRODUCT((데이터!$A$2:$A$200=2)*(데이터!$B$2:$B$200=2)*데이터!$F$2:$F$200)</f>
        <v/>
      </c>
      <c r="G11" s="12">
        <f>IF(E11=0,"",E11+F11)</f>
        <v/>
      </c>
      <c r="H11" s="12">
        <f>IF(E11=0,"",E11*0.15)</f>
        <v/>
      </c>
      <c r="I11" s="12">
        <f>IF(E11=0,"",F11*0.13)</f>
        <v/>
      </c>
      <c r="J11" s="12">
        <f>IF(E11=0,"",H11+I11)</f>
        <v/>
      </c>
      <c r="K11" s="12">
        <f>IF(E11=0,"",J11*0.1)</f>
        <v/>
      </c>
      <c r="L11" s="12">
        <f>IF(AND(E11&lt;&gt;0,B11=4),3000000,0)</f>
        <v/>
      </c>
      <c r="M11" s="12">
        <f>IF(L11=0,0,L11*0.1)</f>
        <v/>
      </c>
      <c r="N11" s="12">
        <f>IF(AND(E11&lt;&gt;0,B11=4),120900,0)</f>
        <v/>
      </c>
      <c r="O11" s="12">
        <f>(SUMPRODUCT((데이터!$A$2:$A$200=2)*(데이터!$B$2:$B$200=2)*데이터!$G$2:$G$200)+SUMPRODUCT((데이터!$A$2:$A$200=2)*(데이터!$B$2:$B$200=2)*데이터!$H$2:$H$200)+SUMPRODUCT((데이터!$A$2:$A$200=2)*(데이터!$B$2:$B$200=2)*데이터!$I$2:$I$200))*0.95</f>
        <v/>
      </c>
      <c r="P11" s="12">
        <f>SUMPRODUCT((데이터!$A$2:$A$200=2)*(데이터!$B$2:$B$200=2)*데이터!$J$2:$J$200)+SUMPRODUCT((데이터!$A$2:$A$200=2)*(데이터!$B$2:$B$200=2)*데이터!$K$2:$K$200)*0.05+SUMPRODUCT((데이터!$A$2:$A$200=2)*(데이터!$B$2:$B$200=2)*데이터!$L$2:$L$200)</f>
        <v/>
      </c>
      <c r="Q11" s="12">
        <f>IF(E11=0,"",J11+K11+L11+M11+N11+O11+P11)</f>
        <v/>
      </c>
      <c r="R11" s="12">
        <f>IF(E11=0,"",E11-Q11)</f>
        <v/>
      </c>
      <c r="S11" s="12">
        <f>IF(E11=0,"",F11-I11-I11*0.1)</f>
        <v/>
      </c>
      <c r="T11" s="24">
        <f>IFERROR(INDEX(데이터!$M$2:$M$200,MATCH(1,(데이터!$A$2:$A$200=2)*(데이터!$B$2:$B$200=2),0)),"")</f>
        <v/>
      </c>
    </row>
    <row r="12">
      <c r="A12" s="23" t="n">
        <v>2</v>
      </c>
      <c r="B12" s="23" t="n">
        <v>3</v>
      </c>
      <c r="C12" s="24">
        <f>IFERROR(SUMPRODUCT((데이터!$A$2:$A$200=2)*(데이터!$B$2:$B$200=3)*데이터!$C$2:$C$200),"")</f>
        <v/>
      </c>
      <c r="D12" s="24">
        <f>IFERROR(SUMPRODUCT((데이터!$A$2:$A$200=2)*(데이터!$B$2:$B$200=3)*데이터!$D$2:$D$200),"")</f>
        <v/>
      </c>
      <c r="E12" s="12">
        <f>SUMPRODUCT((데이터!$A$2:$A$200=2)*(데이터!$B$2:$B$200=3)*데이터!$E$2:$E$200)</f>
        <v/>
      </c>
      <c r="F12" s="12">
        <f>SUMPRODUCT((데이터!$A$2:$A$200=2)*(데이터!$B$2:$B$200=3)*데이터!$F$2:$F$200)</f>
        <v/>
      </c>
      <c r="G12" s="12">
        <f>IF(E12=0,"",E12+F12)</f>
        <v/>
      </c>
      <c r="H12" s="12">
        <f>IF(E12=0,"",E12*0.15)</f>
        <v/>
      </c>
      <c r="I12" s="12">
        <f>IF(E12=0,"",F12*0.13)</f>
        <v/>
      </c>
      <c r="J12" s="12">
        <f>IF(E12=0,"",H12+I12)</f>
        <v/>
      </c>
      <c r="K12" s="12">
        <f>IF(E12=0,"",J12*0.1)</f>
        <v/>
      </c>
      <c r="L12" s="12">
        <f>IF(AND(E12&lt;&gt;0,B12=4),3000000,0)</f>
        <v/>
      </c>
      <c r="M12" s="12">
        <f>IF(L12=0,0,L12*0.1)</f>
        <v/>
      </c>
      <c r="N12" s="12">
        <f>IF(AND(E12&lt;&gt;0,B12=4),120900,0)</f>
        <v/>
      </c>
      <c r="O12" s="12">
        <f>(SUMPRODUCT((데이터!$A$2:$A$200=2)*(데이터!$B$2:$B$200=3)*데이터!$G$2:$G$200)+SUMPRODUCT((데이터!$A$2:$A$200=2)*(데이터!$B$2:$B$200=3)*데이터!$H$2:$H$200)+SUMPRODUCT((데이터!$A$2:$A$200=2)*(데이터!$B$2:$B$200=3)*데이터!$I$2:$I$200))*0.95</f>
        <v/>
      </c>
      <c r="P12" s="12">
        <f>SUMPRODUCT((데이터!$A$2:$A$200=2)*(데이터!$B$2:$B$200=3)*데이터!$J$2:$J$200)+SUMPRODUCT((데이터!$A$2:$A$200=2)*(데이터!$B$2:$B$200=3)*데이터!$K$2:$K$200)*0.05+SUMPRODUCT((데이터!$A$2:$A$200=2)*(데이터!$B$2:$B$200=3)*데이터!$L$2:$L$200)</f>
        <v/>
      </c>
      <c r="Q12" s="12">
        <f>IF(E12=0,"",J12+K12+L12+M12+N12+O12+P12)</f>
        <v/>
      </c>
      <c r="R12" s="12">
        <f>IF(E12=0,"",E12-Q12)</f>
        <v/>
      </c>
      <c r="S12" s="12">
        <f>IF(E12=0,"",F12-I12-I12*0.1)</f>
        <v/>
      </c>
      <c r="T12" s="24">
        <f>IFERROR(INDEX(데이터!$M$2:$M$200,MATCH(1,(데이터!$A$2:$A$200=2)*(데이터!$B$2:$B$200=3),0)),"")</f>
        <v/>
      </c>
    </row>
    <row r="13">
      <c r="A13" s="23" t="n">
        <v>2</v>
      </c>
      <c r="B13" s="23" t="n">
        <v>4</v>
      </c>
      <c r="C13" s="24">
        <f>IFERROR(SUMPRODUCT((데이터!$A$2:$A$200=2)*(데이터!$B$2:$B$200=4)*데이터!$C$2:$C$200),"")</f>
        <v/>
      </c>
      <c r="D13" s="24">
        <f>IFERROR(SUMPRODUCT((데이터!$A$2:$A$200=2)*(데이터!$B$2:$B$200=4)*데이터!$D$2:$D$200),"")</f>
        <v/>
      </c>
      <c r="E13" s="12">
        <f>SUMPRODUCT((데이터!$A$2:$A$200=2)*(데이터!$B$2:$B$200=4)*데이터!$E$2:$E$200)</f>
        <v/>
      </c>
      <c r="F13" s="12">
        <f>SUMPRODUCT((데이터!$A$2:$A$200=2)*(데이터!$B$2:$B$200=4)*데이터!$F$2:$F$200)</f>
        <v/>
      </c>
      <c r="G13" s="12">
        <f>IF(E13=0,"",E13+F13)</f>
        <v/>
      </c>
      <c r="H13" s="12">
        <f>IF(E13=0,"",E13*0.15)</f>
        <v/>
      </c>
      <c r="I13" s="12">
        <f>IF(E13=0,"",F13*0.13)</f>
        <v/>
      </c>
      <c r="J13" s="12">
        <f>IF(E13=0,"",H13+I13)</f>
        <v/>
      </c>
      <c r="K13" s="12">
        <f>IF(E13=0,"",J13*0.1)</f>
        <v/>
      </c>
      <c r="L13" s="12">
        <f>IF(AND(E13&lt;&gt;0,B13=4),3000000,0)</f>
        <v/>
      </c>
      <c r="M13" s="12">
        <f>IF(L13=0,0,L13*0.1)</f>
        <v/>
      </c>
      <c r="N13" s="12">
        <f>IF(AND(E13&lt;&gt;0,B13=4),120900,0)</f>
        <v/>
      </c>
      <c r="O13" s="12">
        <f>(SUMPRODUCT((데이터!$A$2:$A$200=2)*(데이터!$B$2:$B$200=4)*데이터!$G$2:$G$200)+SUMPRODUCT((데이터!$A$2:$A$200=2)*(데이터!$B$2:$B$200=4)*데이터!$H$2:$H$200)+SUMPRODUCT((데이터!$A$2:$A$200=2)*(데이터!$B$2:$B$200=4)*데이터!$I$2:$I$200))*0.95</f>
        <v/>
      </c>
      <c r="P13" s="12">
        <f>SUMPRODUCT((데이터!$A$2:$A$200=2)*(데이터!$B$2:$B$200=4)*데이터!$J$2:$J$200)+SUMPRODUCT((데이터!$A$2:$A$200=2)*(데이터!$B$2:$B$200=4)*데이터!$K$2:$K$200)*0.05+SUMPRODUCT((데이터!$A$2:$A$200=2)*(데이터!$B$2:$B$200=4)*데이터!$L$2:$L$200)</f>
        <v/>
      </c>
      <c r="Q13" s="12">
        <f>IF(E13=0,"",J13+K13+L13+M13+N13+O13+P13)</f>
        <v/>
      </c>
      <c r="R13" s="12">
        <f>IF(E13=0,"",E13-Q13)</f>
        <v/>
      </c>
      <c r="S13" s="12">
        <f>IF(E13=0,"",F13-I13-I13*0.1)</f>
        <v/>
      </c>
      <c r="T13" s="24">
        <f>IFERROR(INDEX(데이터!$M$2:$M$200,MATCH(1,(데이터!$A$2:$A$200=2)*(데이터!$B$2:$B$200=4),0)),"")</f>
        <v/>
      </c>
    </row>
    <row r="14">
      <c r="A14" s="23" t="n">
        <v>2</v>
      </c>
      <c r="B14" s="23" t="n">
        <v>5</v>
      </c>
      <c r="C14" s="24">
        <f>IFERROR(SUMPRODUCT((데이터!$A$2:$A$200=2)*(데이터!$B$2:$B$200=5)*데이터!$C$2:$C$200),"")</f>
        <v/>
      </c>
      <c r="D14" s="24">
        <f>IFERROR(SUMPRODUCT((데이터!$A$2:$A$200=2)*(데이터!$B$2:$B$200=5)*데이터!$D$2:$D$200),"")</f>
        <v/>
      </c>
      <c r="E14" s="12">
        <f>SUMPRODUCT((데이터!$A$2:$A$200=2)*(데이터!$B$2:$B$200=5)*데이터!$E$2:$E$200)</f>
        <v/>
      </c>
      <c r="F14" s="12">
        <f>SUMPRODUCT((데이터!$A$2:$A$200=2)*(데이터!$B$2:$B$200=5)*데이터!$F$2:$F$200)</f>
        <v/>
      </c>
      <c r="G14" s="12">
        <f>IF(E14=0,"",E14+F14)</f>
        <v/>
      </c>
      <c r="H14" s="12">
        <f>IF(E14=0,"",E14*0.15)</f>
        <v/>
      </c>
      <c r="I14" s="12">
        <f>IF(E14=0,"",F14*0.13)</f>
        <v/>
      </c>
      <c r="J14" s="12">
        <f>IF(E14=0,"",H14+I14)</f>
        <v/>
      </c>
      <c r="K14" s="12">
        <f>IF(E14=0,"",J14*0.1)</f>
        <v/>
      </c>
      <c r="L14" s="12">
        <f>IF(AND(E14&lt;&gt;0,B14=4),3000000,0)</f>
        <v/>
      </c>
      <c r="M14" s="12">
        <f>IF(L14=0,0,L14*0.1)</f>
        <v/>
      </c>
      <c r="N14" s="12">
        <f>IF(AND(E14&lt;&gt;0,B14=4),120900,0)</f>
        <v/>
      </c>
      <c r="O14" s="12">
        <f>(SUMPRODUCT((데이터!$A$2:$A$200=2)*(데이터!$B$2:$B$200=5)*데이터!$G$2:$G$200)+SUMPRODUCT((데이터!$A$2:$A$200=2)*(데이터!$B$2:$B$200=5)*데이터!$H$2:$H$200)+SUMPRODUCT((데이터!$A$2:$A$200=2)*(데이터!$B$2:$B$200=5)*데이터!$I$2:$I$200))*0.95</f>
        <v/>
      </c>
      <c r="P14" s="12">
        <f>SUMPRODUCT((데이터!$A$2:$A$200=2)*(데이터!$B$2:$B$200=5)*데이터!$J$2:$J$200)+SUMPRODUCT((데이터!$A$2:$A$200=2)*(데이터!$B$2:$B$200=5)*데이터!$K$2:$K$200)*0.05+SUMPRODUCT((데이터!$A$2:$A$200=2)*(데이터!$B$2:$B$200=5)*데이터!$L$2:$L$200)</f>
        <v/>
      </c>
      <c r="Q14" s="12">
        <f>IF(E14=0,"",J14+K14+L14+M14+N14+O14+P14)</f>
        <v/>
      </c>
      <c r="R14" s="12">
        <f>IF(E14=0,"",E14-Q14)</f>
        <v/>
      </c>
      <c r="S14" s="12">
        <f>IF(E14=0,"",F14-I14-I14*0.1)</f>
        <v/>
      </c>
      <c r="T14" s="24">
        <f>IFERROR(INDEX(데이터!$M$2:$M$200,MATCH(1,(데이터!$A$2:$A$200=2)*(데이터!$B$2:$B$200=5),0)),"")</f>
        <v/>
      </c>
    </row>
    <row r="15">
      <c r="A15" s="25" t="inlineStr">
        <is>
          <t>2월</t>
        </is>
      </c>
      <c r="B15" s="25" t="inlineStr">
        <is>
          <t>소계</t>
        </is>
      </c>
      <c r="C15" s="26" t="n"/>
      <c r="D15" s="26" t="n"/>
      <c r="E15" s="27">
        <f>SUM(E10:E14)</f>
        <v/>
      </c>
      <c r="F15" s="27">
        <f>SUM(F10:F14)</f>
        <v/>
      </c>
      <c r="G15" s="27">
        <f>SUM(G10:G14)</f>
        <v/>
      </c>
      <c r="H15" s="27">
        <f>SUM(H10:H14)</f>
        <v/>
      </c>
      <c r="I15" s="27">
        <f>SUM(I10:I14)</f>
        <v/>
      </c>
      <c r="J15" s="27">
        <f>SUM(J10:J14)</f>
        <v/>
      </c>
      <c r="K15" s="27">
        <f>SUM(K10:K14)</f>
        <v/>
      </c>
      <c r="L15" s="27">
        <f>SUM(L10:L14)</f>
        <v/>
      </c>
      <c r="M15" s="27">
        <f>SUM(M10:M14)</f>
        <v/>
      </c>
      <c r="N15" s="27">
        <f>SUM(N10:N14)</f>
        <v/>
      </c>
      <c r="O15" s="27">
        <f>SUM(O10:O14)</f>
        <v/>
      </c>
      <c r="P15" s="27">
        <f>SUM(P10:P14)</f>
        <v/>
      </c>
      <c r="Q15" s="27">
        <f>SUM(Q10:Q14)</f>
        <v/>
      </c>
      <c r="R15" s="27">
        <f>SUM(R10:R14)</f>
        <v/>
      </c>
      <c r="S15" s="27">
        <f>SUM(S10:S14)</f>
        <v/>
      </c>
      <c r="T15" s="26" t="n"/>
    </row>
    <row r="16">
      <c r="A16" s="23" t="n">
        <v>3</v>
      </c>
      <c r="B16" s="23" t="n">
        <v>1</v>
      </c>
      <c r="C16" s="24">
        <f>IFERROR(SUMPRODUCT((데이터!$A$2:$A$200=3)*(데이터!$B$2:$B$200=1)*데이터!$C$2:$C$200),"")</f>
        <v/>
      </c>
      <c r="D16" s="24">
        <f>IFERROR(SUMPRODUCT((데이터!$A$2:$A$200=3)*(데이터!$B$2:$B$200=1)*데이터!$D$2:$D$200),"")</f>
        <v/>
      </c>
      <c r="E16" s="12">
        <f>SUMPRODUCT((데이터!$A$2:$A$200=3)*(데이터!$B$2:$B$200=1)*데이터!$E$2:$E$200)</f>
        <v/>
      </c>
      <c r="F16" s="12">
        <f>SUMPRODUCT((데이터!$A$2:$A$200=3)*(데이터!$B$2:$B$200=1)*데이터!$F$2:$F$200)</f>
        <v/>
      </c>
      <c r="G16" s="12">
        <f>IF(E16=0,"",E16+F16)</f>
        <v/>
      </c>
      <c r="H16" s="12">
        <f>IF(E16=0,"",E16*0.15)</f>
        <v/>
      </c>
      <c r="I16" s="12">
        <f>IF(E16=0,"",F16*0.13)</f>
        <v/>
      </c>
      <c r="J16" s="12">
        <f>IF(E16=0,"",H16+I16)</f>
        <v/>
      </c>
      <c r="K16" s="12">
        <f>IF(E16=0,"",J16*0.1)</f>
        <v/>
      </c>
      <c r="L16" s="12">
        <f>IF(AND(E16&lt;&gt;0,B16=4),3000000,0)</f>
        <v/>
      </c>
      <c r="M16" s="12">
        <f>IF(L16=0,0,L16*0.1)</f>
        <v/>
      </c>
      <c r="N16" s="12">
        <f>IF(AND(E16&lt;&gt;0,B16=4),120900,0)</f>
        <v/>
      </c>
      <c r="O16" s="12">
        <f>(SUMPRODUCT((데이터!$A$2:$A$200=3)*(데이터!$B$2:$B$200=1)*데이터!$G$2:$G$200)+SUMPRODUCT((데이터!$A$2:$A$200=3)*(데이터!$B$2:$B$200=1)*데이터!$H$2:$H$200)+SUMPRODUCT((데이터!$A$2:$A$200=3)*(데이터!$B$2:$B$200=1)*데이터!$I$2:$I$200))*0.95</f>
        <v/>
      </c>
      <c r="P16" s="12">
        <f>SUMPRODUCT((데이터!$A$2:$A$200=3)*(데이터!$B$2:$B$200=1)*데이터!$J$2:$J$200)+SUMPRODUCT((데이터!$A$2:$A$200=3)*(데이터!$B$2:$B$200=1)*데이터!$K$2:$K$200)*0.05+SUMPRODUCT((데이터!$A$2:$A$200=3)*(데이터!$B$2:$B$200=1)*데이터!$L$2:$L$200)</f>
        <v/>
      </c>
      <c r="Q16" s="12">
        <f>IF(E16=0,"",J16+K16+L16+M16+N16+O16+P16)</f>
        <v/>
      </c>
      <c r="R16" s="12">
        <f>IF(E16=0,"",E16-Q16)</f>
        <v/>
      </c>
      <c r="S16" s="12">
        <f>IF(E16=0,"",F16-I16-I16*0.1)</f>
        <v/>
      </c>
      <c r="T16" s="24">
        <f>IFERROR(INDEX(데이터!$M$2:$M$200,MATCH(1,(데이터!$A$2:$A$200=3)*(데이터!$B$2:$B$200=1),0)),"")</f>
        <v/>
      </c>
    </row>
    <row r="17">
      <c r="A17" s="23" t="n">
        <v>3</v>
      </c>
      <c r="B17" s="23" t="n">
        <v>2</v>
      </c>
      <c r="C17" s="24">
        <f>IFERROR(SUMPRODUCT((데이터!$A$2:$A$200=3)*(데이터!$B$2:$B$200=2)*데이터!$C$2:$C$200),"")</f>
        <v/>
      </c>
      <c r="D17" s="24">
        <f>IFERROR(SUMPRODUCT((데이터!$A$2:$A$200=3)*(데이터!$B$2:$B$200=2)*데이터!$D$2:$D$200),"")</f>
        <v/>
      </c>
      <c r="E17" s="12">
        <f>SUMPRODUCT((데이터!$A$2:$A$200=3)*(데이터!$B$2:$B$200=2)*데이터!$E$2:$E$200)</f>
        <v/>
      </c>
      <c r="F17" s="12">
        <f>SUMPRODUCT((데이터!$A$2:$A$200=3)*(데이터!$B$2:$B$200=2)*데이터!$F$2:$F$200)</f>
        <v/>
      </c>
      <c r="G17" s="12">
        <f>IF(E17=0,"",E17+F17)</f>
        <v/>
      </c>
      <c r="H17" s="12">
        <f>IF(E17=0,"",E17*0.15)</f>
        <v/>
      </c>
      <c r="I17" s="12">
        <f>IF(E17=0,"",F17*0.13)</f>
        <v/>
      </c>
      <c r="J17" s="12">
        <f>IF(E17=0,"",H17+I17)</f>
        <v/>
      </c>
      <c r="K17" s="12">
        <f>IF(E17=0,"",J17*0.1)</f>
        <v/>
      </c>
      <c r="L17" s="12">
        <f>IF(AND(E17&lt;&gt;0,B17=4),3000000,0)</f>
        <v/>
      </c>
      <c r="M17" s="12">
        <f>IF(L17=0,0,L17*0.1)</f>
        <v/>
      </c>
      <c r="N17" s="12">
        <f>IF(AND(E17&lt;&gt;0,B17=4),120900,0)</f>
        <v/>
      </c>
      <c r="O17" s="12">
        <f>(SUMPRODUCT((데이터!$A$2:$A$200=3)*(데이터!$B$2:$B$200=2)*데이터!$G$2:$G$200)+SUMPRODUCT((데이터!$A$2:$A$200=3)*(데이터!$B$2:$B$200=2)*데이터!$H$2:$H$200)+SUMPRODUCT((데이터!$A$2:$A$200=3)*(데이터!$B$2:$B$200=2)*데이터!$I$2:$I$200))*0.95</f>
        <v/>
      </c>
      <c r="P17" s="12">
        <f>SUMPRODUCT((데이터!$A$2:$A$200=3)*(데이터!$B$2:$B$200=2)*데이터!$J$2:$J$200)+SUMPRODUCT((데이터!$A$2:$A$200=3)*(데이터!$B$2:$B$200=2)*데이터!$K$2:$K$200)*0.05+SUMPRODUCT((데이터!$A$2:$A$200=3)*(데이터!$B$2:$B$200=2)*데이터!$L$2:$L$200)</f>
        <v/>
      </c>
      <c r="Q17" s="12">
        <f>IF(E17=0,"",J17+K17+L17+M17+N17+O17+P17)</f>
        <v/>
      </c>
      <c r="R17" s="12">
        <f>IF(E17=0,"",E17-Q17)</f>
        <v/>
      </c>
      <c r="S17" s="12">
        <f>IF(E17=0,"",F17-I17-I17*0.1)</f>
        <v/>
      </c>
      <c r="T17" s="24">
        <f>IFERROR(INDEX(데이터!$M$2:$M$200,MATCH(1,(데이터!$A$2:$A$200=3)*(데이터!$B$2:$B$200=2),0)),"")</f>
        <v/>
      </c>
    </row>
    <row r="18">
      <c r="A18" s="23" t="n">
        <v>3</v>
      </c>
      <c r="B18" s="23" t="n">
        <v>3</v>
      </c>
      <c r="C18" s="24">
        <f>IFERROR(SUMPRODUCT((데이터!$A$2:$A$200=3)*(데이터!$B$2:$B$200=3)*데이터!$C$2:$C$200),"")</f>
        <v/>
      </c>
      <c r="D18" s="24">
        <f>IFERROR(SUMPRODUCT((데이터!$A$2:$A$200=3)*(데이터!$B$2:$B$200=3)*데이터!$D$2:$D$200),"")</f>
        <v/>
      </c>
      <c r="E18" s="12">
        <f>SUMPRODUCT((데이터!$A$2:$A$200=3)*(데이터!$B$2:$B$200=3)*데이터!$E$2:$E$200)</f>
        <v/>
      </c>
      <c r="F18" s="12">
        <f>SUMPRODUCT((데이터!$A$2:$A$200=3)*(데이터!$B$2:$B$200=3)*데이터!$F$2:$F$200)</f>
        <v/>
      </c>
      <c r="G18" s="12">
        <f>IF(E18=0,"",E18+F18)</f>
        <v/>
      </c>
      <c r="H18" s="12">
        <f>IF(E18=0,"",E18*0.15)</f>
        <v/>
      </c>
      <c r="I18" s="12">
        <f>IF(E18=0,"",F18*0.13)</f>
        <v/>
      </c>
      <c r="J18" s="12">
        <f>IF(E18=0,"",H18+I18)</f>
        <v/>
      </c>
      <c r="K18" s="12">
        <f>IF(E18=0,"",J18*0.1)</f>
        <v/>
      </c>
      <c r="L18" s="12">
        <f>IF(AND(E18&lt;&gt;0,B18=4),3000000,0)</f>
        <v/>
      </c>
      <c r="M18" s="12">
        <f>IF(L18=0,0,L18*0.1)</f>
        <v/>
      </c>
      <c r="N18" s="12">
        <f>IF(AND(E18&lt;&gt;0,B18=4),120900,0)</f>
        <v/>
      </c>
      <c r="O18" s="12">
        <f>(SUMPRODUCT((데이터!$A$2:$A$200=3)*(데이터!$B$2:$B$200=3)*데이터!$G$2:$G$200)+SUMPRODUCT((데이터!$A$2:$A$200=3)*(데이터!$B$2:$B$200=3)*데이터!$H$2:$H$200)+SUMPRODUCT((데이터!$A$2:$A$200=3)*(데이터!$B$2:$B$200=3)*데이터!$I$2:$I$200))*0.95</f>
        <v/>
      </c>
      <c r="P18" s="12">
        <f>SUMPRODUCT((데이터!$A$2:$A$200=3)*(데이터!$B$2:$B$200=3)*데이터!$J$2:$J$200)+SUMPRODUCT((데이터!$A$2:$A$200=3)*(데이터!$B$2:$B$200=3)*데이터!$K$2:$K$200)*0.05+SUMPRODUCT((데이터!$A$2:$A$200=3)*(데이터!$B$2:$B$200=3)*데이터!$L$2:$L$200)</f>
        <v/>
      </c>
      <c r="Q18" s="12">
        <f>IF(E18=0,"",J18+K18+L18+M18+N18+O18+P18)</f>
        <v/>
      </c>
      <c r="R18" s="12">
        <f>IF(E18=0,"",E18-Q18)</f>
        <v/>
      </c>
      <c r="S18" s="12">
        <f>IF(E18=0,"",F18-I18-I18*0.1)</f>
        <v/>
      </c>
      <c r="T18" s="24">
        <f>IFERROR(INDEX(데이터!$M$2:$M$200,MATCH(1,(데이터!$A$2:$A$200=3)*(데이터!$B$2:$B$200=3),0)),"")</f>
        <v/>
      </c>
    </row>
    <row r="19">
      <c r="A19" s="23" t="n">
        <v>3</v>
      </c>
      <c r="B19" s="23" t="n">
        <v>4</v>
      </c>
      <c r="C19" s="24">
        <f>IFERROR(SUMPRODUCT((데이터!$A$2:$A$200=3)*(데이터!$B$2:$B$200=4)*데이터!$C$2:$C$200),"")</f>
        <v/>
      </c>
      <c r="D19" s="24">
        <f>IFERROR(SUMPRODUCT((데이터!$A$2:$A$200=3)*(데이터!$B$2:$B$200=4)*데이터!$D$2:$D$200),"")</f>
        <v/>
      </c>
      <c r="E19" s="12">
        <f>SUMPRODUCT((데이터!$A$2:$A$200=3)*(데이터!$B$2:$B$200=4)*데이터!$E$2:$E$200)</f>
        <v/>
      </c>
      <c r="F19" s="12">
        <f>SUMPRODUCT((데이터!$A$2:$A$200=3)*(데이터!$B$2:$B$200=4)*데이터!$F$2:$F$200)</f>
        <v/>
      </c>
      <c r="G19" s="12">
        <f>IF(E19=0,"",E19+F19)</f>
        <v/>
      </c>
      <c r="H19" s="12">
        <f>IF(E19=0,"",E19*0.15)</f>
        <v/>
      </c>
      <c r="I19" s="12">
        <f>IF(E19=0,"",F19*0.13)</f>
        <v/>
      </c>
      <c r="J19" s="12">
        <f>IF(E19=0,"",H19+I19)</f>
        <v/>
      </c>
      <c r="K19" s="12">
        <f>IF(E19=0,"",J19*0.1)</f>
        <v/>
      </c>
      <c r="L19" s="12">
        <f>IF(AND(E19&lt;&gt;0,B19=4),3000000,0)</f>
        <v/>
      </c>
      <c r="M19" s="12">
        <f>IF(L19=0,0,L19*0.1)</f>
        <v/>
      </c>
      <c r="N19" s="12">
        <f>IF(AND(E19&lt;&gt;0,B19=4),120900,0)</f>
        <v/>
      </c>
      <c r="O19" s="12">
        <f>(SUMPRODUCT((데이터!$A$2:$A$200=3)*(데이터!$B$2:$B$200=4)*데이터!$G$2:$G$200)+SUMPRODUCT((데이터!$A$2:$A$200=3)*(데이터!$B$2:$B$200=4)*데이터!$H$2:$H$200)+SUMPRODUCT((데이터!$A$2:$A$200=3)*(데이터!$B$2:$B$200=4)*데이터!$I$2:$I$200))*0.95</f>
        <v/>
      </c>
      <c r="P19" s="12">
        <f>SUMPRODUCT((데이터!$A$2:$A$200=3)*(데이터!$B$2:$B$200=4)*데이터!$J$2:$J$200)+SUMPRODUCT((데이터!$A$2:$A$200=3)*(데이터!$B$2:$B$200=4)*데이터!$K$2:$K$200)*0.05+SUMPRODUCT((데이터!$A$2:$A$200=3)*(데이터!$B$2:$B$200=4)*데이터!$L$2:$L$200)</f>
        <v/>
      </c>
      <c r="Q19" s="12">
        <f>IF(E19=0,"",J19+K19+L19+M19+N19+O19+P19)</f>
        <v/>
      </c>
      <c r="R19" s="12">
        <f>IF(E19=0,"",E19-Q19)</f>
        <v/>
      </c>
      <c r="S19" s="12">
        <f>IF(E19=0,"",F19-I19-I19*0.1)</f>
        <v/>
      </c>
      <c r="T19" s="24">
        <f>IFERROR(INDEX(데이터!$M$2:$M$200,MATCH(1,(데이터!$A$2:$A$200=3)*(데이터!$B$2:$B$200=4),0)),"")</f>
        <v/>
      </c>
    </row>
    <row r="20">
      <c r="A20" s="23" t="n">
        <v>3</v>
      </c>
      <c r="B20" s="23" t="n">
        <v>5</v>
      </c>
      <c r="C20" s="24">
        <f>IFERROR(SUMPRODUCT((데이터!$A$2:$A$200=3)*(데이터!$B$2:$B$200=5)*데이터!$C$2:$C$200),"")</f>
        <v/>
      </c>
      <c r="D20" s="24">
        <f>IFERROR(SUMPRODUCT((데이터!$A$2:$A$200=3)*(데이터!$B$2:$B$200=5)*데이터!$D$2:$D$200),"")</f>
        <v/>
      </c>
      <c r="E20" s="12">
        <f>SUMPRODUCT((데이터!$A$2:$A$200=3)*(데이터!$B$2:$B$200=5)*데이터!$E$2:$E$200)</f>
        <v/>
      </c>
      <c r="F20" s="12">
        <f>SUMPRODUCT((데이터!$A$2:$A$200=3)*(데이터!$B$2:$B$200=5)*데이터!$F$2:$F$200)</f>
        <v/>
      </c>
      <c r="G20" s="12">
        <f>IF(E20=0,"",E20+F20)</f>
        <v/>
      </c>
      <c r="H20" s="12">
        <f>IF(E20=0,"",E20*0.15)</f>
        <v/>
      </c>
      <c r="I20" s="12">
        <f>IF(E20=0,"",F20*0.13)</f>
        <v/>
      </c>
      <c r="J20" s="12">
        <f>IF(E20=0,"",H20+I20)</f>
        <v/>
      </c>
      <c r="K20" s="12">
        <f>IF(E20=0,"",J20*0.1)</f>
        <v/>
      </c>
      <c r="L20" s="12">
        <f>IF(AND(E20&lt;&gt;0,B20=4),3000000,0)</f>
        <v/>
      </c>
      <c r="M20" s="12">
        <f>IF(L20=0,0,L20*0.1)</f>
        <v/>
      </c>
      <c r="N20" s="12">
        <f>IF(AND(E20&lt;&gt;0,B20=4),120900,0)</f>
        <v/>
      </c>
      <c r="O20" s="12">
        <f>(SUMPRODUCT((데이터!$A$2:$A$200=3)*(데이터!$B$2:$B$200=5)*데이터!$G$2:$G$200)+SUMPRODUCT((데이터!$A$2:$A$200=3)*(데이터!$B$2:$B$200=5)*데이터!$H$2:$H$200)+SUMPRODUCT((데이터!$A$2:$A$200=3)*(데이터!$B$2:$B$200=5)*데이터!$I$2:$I$200))*0.95</f>
        <v/>
      </c>
      <c r="P20" s="12">
        <f>SUMPRODUCT((데이터!$A$2:$A$200=3)*(데이터!$B$2:$B$200=5)*데이터!$J$2:$J$200)+SUMPRODUCT((데이터!$A$2:$A$200=3)*(데이터!$B$2:$B$200=5)*데이터!$K$2:$K$200)*0.05+SUMPRODUCT((데이터!$A$2:$A$200=3)*(데이터!$B$2:$B$200=5)*데이터!$L$2:$L$200)</f>
        <v/>
      </c>
      <c r="Q20" s="12">
        <f>IF(E20=0,"",J20+K20+L20+M20+N20+O20+P20)</f>
        <v/>
      </c>
      <c r="R20" s="12">
        <f>IF(E20=0,"",E20-Q20)</f>
        <v/>
      </c>
      <c r="S20" s="12">
        <f>IF(E20=0,"",F20-I20-I20*0.1)</f>
        <v/>
      </c>
      <c r="T20" s="24">
        <f>IFERROR(INDEX(데이터!$M$2:$M$200,MATCH(1,(데이터!$A$2:$A$200=3)*(데이터!$B$2:$B$200=5),0)),"")</f>
        <v/>
      </c>
    </row>
    <row r="21">
      <c r="A21" s="25" t="inlineStr">
        <is>
          <t>3월</t>
        </is>
      </c>
      <c r="B21" s="25" t="inlineStr">
        <is>
          <t>소계</t>
        </is>
      </c>
      <c r="C21" s="26" t="n"/>
      <c r="D21" s="26" t="n"/>
      <c r="E21" s="27">
        <f>SUM(E16:E20)</f>
        <v/>
      </c>
      <c r="F21" s="27">
        <f>SUM(F16:F20)</f>
        <v/>
      </c>
      <c r="G21" s="27">
        <f>SUM(G16:G20)</f>
        <v/>
      </c>
      <c r="H21" s="27">
        <f>SUM(H16:H20)</f>
        <v/>
      </c>
      <c r="I21" s="27">
        <f>SUM(I16:I20)</f>
        <v/>
      </c>
      <c r="J21" s="27">
        <f>SUM(J16:J20)</f>
        <v/>
      </c>
      <c r="K21" s="27">
        <f>SUM(K16:K20)</f>
        <v/>
      </c>
      <c r="L21" s="27">
        <f>SUM(L16:L20)</f>
        <v/>
      </c>
      <c r="M21" s="27">
        <f>SUM(M16:M20)</f>
        <v/>
      </c>
      <c r="N21" s="27">
        <f>SUM(N16:N20)</f>
        <v/>
      </c>
      <c r="O21" s="27">
        <f>SUM(O16:O20)</f>
        <v/>
      </c>
      <c r="P21" s="27">
        <f>SUM(P16:P20)</f>
        <v/>
      </c>
      <c r="Q21" s="27">
        <f>SUM(Q16:Q20)</f>
        <v/>
      </c>
      <c r="R21" s="27">
        <f>SUM(R16:R20)</f>
        <v/>
      </c>
      <c r="S21" s="27">
        <f>SUM(S16:S20)</f>
        <v/>
      </c>
      <c r="T21" s="26" t="n"/>
    </row>
    <row r="22">
      <c r="A22" s="23" t="n">
        <v>4</v>
      </c>
      <c r="B22" s="23" t="n">
        <v>1</v>
      </c>
      <c r="C22" s="24">
        <f>IFERROR(SUMPRODUCT((데이터!$A$2:$A$200=4)*(데이터!$B$2:$B$200=1)*데이터!$C$2:$C$200),"")</f>
        <v/>
      </c>
      <c r="D22" s="24">
        <f>IFERROR(SUMPRODUCT((데이터!$A$2:$A$200=4)*(데이터!$B$2:$B$200=1)*데이터!$D$2:$D$200),"")</f>
        <v/>
      </c>
      <c r="E22" s="12">
        <f>SUMPRODUCT((데이터!$A$2:$A$200=4)*(데이터!$B$2:$B$200=1)*데이터!$E$2:$E$200)</f>
        <v/>
      </c>
      <c r="F22" s="12">
        <f>SUMPRODUCT((데이터!$A$2:$A$200=4)*(데이터!$B$2:$B$200=1)*데이터!$F$2:$F$200)</f>
        <v/>
      </c>
      <c r="G22" s="12">
        <f>IF(E22=0,"",E22+F22)</f>
        <v/>
      </c>
      <c r="H22" s="12">
        <f>IF(E22=0,"",E22*0.15)</f>
        <v/>
      </c>
      <c r="I22" s="12">
        <f>IF(E22=0,"",F22*0.13)</f>
        <v/>
      </c>
      <c r="J22" s="12">
        <f>IF(E22=0,"",H22+I22)</f>
        <v/>
      </c>
      <c r="K22" s="12">
        <f>IF(E22=0,"",J22*0.1)</f>
        <v/>
      </c>
      <c r="L22" s="12">
        <f>IF(AND(E22&lt;&gt;0,B22=4),3000000,0)</f>
        <v/>
      </c>
      <c r="M22" s="12">
        <f>IF(L22=0,0,L22*0.1)</f>
        <v/>
      </c>
      <c r="N22" s="12">
        <f>IF(AND(E22&lt;&gt;0,B22=4),120900,0)</f>
        <v/>
      </c>
      <c r="O22" s="12">
        <f>(SUMPRODUCT((데이터!$A$2:$A$200=4)*(데이터!$B$2:$B$200=1)*데이터!$G$2:$G$200)+SUMPRODUCT((데이터!$A$2:$A$200=4)*(데이터!$B$2:$B$200=1)*데이터!$H$2:$H$200)+SUMPRODUCT((데이터!$A$2:$A$200=4)*(데이터!$B$2:$B$200=1)*데이터!$I$2:$I$200))*0.95</f>
        <v/>
      </c>
      <c r="P22" s="12">
        <f>SUMPRODUCT((데이터!$A$2:$A$200=4)*(데이터!$B$2:$B$200=1)*데이터!$J$2:$J$200)+SUMPRODUCT((데이터!$A$2:$A$200=4)*(데이터!$B$2:$B$200=1)*데이터!$K$2:$K$200)*0.05+SUMPRODUCT((데이터!$A$2:$A$200=4)*(데이터!$B$2:$B$200=1)*데이터!$L$2:$L$200)</f>
        <v/>
      </c>
      <c r="Q22" s="12">
        <f>IF(E22=0,"",J22+K22+L22+M22+N22+O22+P22)</f>
        <v/>
      </c>
      <c r="R22" s="12">
        <f>IF(E22=0,"",E22-Q22)</f>
        <v/>
      </c>
      <c r="S22" s="12">
        <f>IF(E22=0,"",F22-I22-I22*0.1)</f>
        <v/>
      </c>
      <c r="T22" s="24">
        <f>IFERROR(INDEX(데이터!$M$2:$M$200,MATCH(1,(데이터!$A$2:$A$200=4)*(데이터!$B$2:$B$200=1),0)),"")</f>
        <v/>
      </c>
    </row>
    <row r="23">
      <c r="A23" s="23" t="n">
        <v>4</v>
      </c>
      <c r="B23" s="23" t="n">
        <v>2</v>
      </c>
      <c r="C23" s="24">
        <f>IFERROR(SUMPRODUCT((데이터!$A$2:$A$200=4)*(데이터!$B$2:$B$200=2)*데이터!$C$2:$C$200),"")</f>
        <v/>
      </c>
      <c r="D23" s="24">
        <f>IFERROR(SUMPRODUCT((데이터!$A$2:$A$200=4)*(데이터!$B$2:$B$200=2)*데이터!$D$2:$D$200),"")</f>
        <v/>
      </c>
      <c r="E23" s="12">
        <f>SUMPRODUCT((데이터!$A$2:$A$200=4)*(데이터!$B$2:$B$200=2)*데이터!$E$2:$E$200)</f>
        <v/>
      </c>
      <c r="F23" s="12">
        <f>SUMPRODUCT((데이터!$A$2:$A$200=4)*(데이터!$B$2:$B$200=2)*데이터!$F$2:$F$200)</f>
        <v/>
      </c>
      <c r="G23" s="12">
        <f>IF(E23=0,"",E23+F23)</f>
        <v/>
      </c>
      <c r="H23" s="12">
        <f>IF(E23=0,"",E23*0.15)</f>
        <v/>
      </c>
      <c r="I23" s="12">
        <f>IF(E23=0,"",F23*0.13)</f>
        <v/>
      </c>
      <c r="J23" s="12">
        <f>IF(E23=0,"",H23+I23)</f>
        <v/>
      </c>
      <c r="K23" s="12">
        <f>IF(E23=0,"",J23*0.1)</f>
        <v/>
      </c>
      <c r="L23" s="12">
        <f>IF(AND(E23&lt;&gt;0,B23=4),3000000,0)</f>
        <v/>
      </c>
      <c r="M23" s="12">
        <f>IF(L23=0,0,L23*0.1)</f>
        <v/>
      </c>
      <c r="N23" s="12">
        <f>IF(AND(E23&lt;&gt;0,B23=4),120900,0)</f>
        <v/>
      </c>
      <c r="O23" s="12">
        <f>(SUMPRODUCT((데이터!$A$2:$A$200=4)*(데이터!$B$2:$B$200=2)*데이터!$G$2:$G$200)+SUMPRODUCT((데이터!$A$2:$A$200=4)*(데이터!$B$2:$B$200=2)*데이터!$H$2:$H$200)+SUMPRODUCT((데이터!$A$2:$A$200=4)*(데이터!$B$2:$B$200=2)*데이터!$I$2:$I$200))*0.95</f>
        <v/>
      </c>
      <c r="P23" s="12">
        <f>SUMPRODUCT((데이터!$A$2:$A$200=4)*(데이터!$B$2:$B$200=2)*데이터!$J$2:$J$200)+SUMPRODUCT((데이터!$A$2:$A$200=4)*(데이터!$B$2:$B$200=2)*데이터!$K$2:$K$200)*0.05+SUMPRODUCT((데이터!$A$2:$A$200=4)*(데이터!$B$2:$B$200=2)*데이터!$L$2:$L$200)</f>
        <v/>
      </c>
      <c r="Q23" s="12">
        <f>IF(E23=0,"",J23+K23+L23+M23+N23+O23+P23)</f>
        <v/>
      </c>
      <c r="R23" s="12">
        <f>IF(E23=0,"",E23-Q23)</f>
        <v/>
      </c>
      <c r="S23" s="12">
        <f>IF(E23=0,"",F23-I23-I23*0.1)</f>
        <v/>
      </c>
      <c r="T23" s="24">
        <f>IFERROR(INDEX(데이터!$M$2:$M$200,MATCH(1,(데이터!$A$2:$A$200=4)*(데이터!$B$2:$B$200=2),0)),"")</f>
        <v/>
      </c>
    </row>
    <row r="24">
      <c r="A24" s="23" t="n">
        <v>4</v>
      </c>
      <c r="B24" s="23" t="n">
        <v>3</v>
      </c>
      <c r="C24" s="24">
        <f>IFERROR(SUMPRODUCT((데이터!$A$2:$A$200=4)*(데이터!$B$2:$B$200=3)*데이터!$C$2:$C$200),"")</f>
        <v/>
      </c>
      <c r="D24" s="24">
        <f>IFERROR(SUMPRODUCT((데이터!$A$2:$A$200=4)*(데이터!$B$2:$B$200=3)*데이터!$D$2:$D$200),"")</f>
        <v/>
      </c>
      <c r="E24" s="12">
        <f>SUMPRODUCT((데이터!$A$2:$A$200=4)*(데이터!$B$2:$B$200=3)*데이터!$E$2:$E$200)</f>
        <v/>
      </c>
      <c r="F24" s="12">
        <f>SUMPRODUCT((데이터!$A$2:$A$200=4)*(데이터!$B$2:$B$200=3)*데이터!$F$2:$F$200)</f>
        <v/>
      </c>
      <c r="G24" s="12">
        <f>IF(E24=0,"",E24+F24)</f>
        <v/>
      </c>
      <c r="H24" s="12">
        <f>IF(E24=0,"",E24*0.15)</f>
        <v/>
      </c>
      <c r="I24" s="12">
        <f>IF(E24=0,"",F24*0.13)</f>
        <v/>
      </c>
      <c r="J24" s="12">
        <f>IF(E24=0,"",H24+I24)</f>
        <v/>
      </c>
      <c r="K24" s="12">
        <f>IF(E24=0,"",J24*0.1)</f>
        <v/>
      </c>
      <c r="L24" s="12">
        <f>IF(AND(E24&lt;&gt;0,B24=4),3000000,0)</f>
        <v/>
      </c>
      <c r="M24" s="12">
        <f>IF(L24=0,0,L24*0.1)</f>
        <v/>
      </c>
      <c r="N24" s="12">
        <f>IF(AND(E24&lt;&gt;0,B24=4),120900,0)</f>
        <v/>
      </c>
      <c r="O24" s="12">
        <f>(SUMPRODUCT((데이터!$A$2:$A$200=4)*(데이터!$B$2:$B$200=3)*데이터!$G$2:$G$200)+SUMPRODUCT((데이터!$A$2:$A$200=4)*(데이터!$B$2:$B$200=3)*데이터!$H$2:$H$200)+SUMPRODUCT((데이터!$A$2:$A$200=4)*(데이터!$B$2:$B$200=3)*데이터!$I$2:$I$200))*0.95</f>
        <v/>
      </c>
      <c r="P24" s="12">
        <f>SUMPRODUCT((데이터!$A$2:$A$200=4)*(데이터!$B$2:$B$200=3)*데이터!$J$2:$J$200)+SUMPRODUCT((데이터!$A$2:$A$200=4)*(데이터!$B$2:$B$200=3)*데이터!$K$2:$K$200)*0.05+SUMPRODUCT((데이터!$A$2:$A$200=4)*(데이터!$B$2:$B$200=3)*데이터!$L$2:$L$200)</f>
        <v/>
      </c>
      <c r="Q24" s="12">
        <f>IF(E24=0,"",J24+K24+L24+M24+N24+O24+P24)</f>
        <v/>
      </c>
      <c r="R24" s="12">
        <f>IF(E24=0,"",E24-Q24)</f>
        <v/>
      </c>
      <c r="S24" s="12">
        <f>IF(E24=0,"",F24-I24-I24*0.1)</f>
        <v/>
      </c>
      <c r="T24" s="24">
        <f>IFERROR(INDEX(데이터!$M$2:$M$200,MATCH(1,(데이터!$A$2:$A$200=4)*(데이터!$B$2:$B$200=3),0)),"")</f>
        <v/>
      </c>
    </row>
    <row r="25">
      <c r="A25" s="23" t="n">
        <v>4</v>
      </c>
      <c r="B25" s="23" t="n">
        <v>4</v>
      </c>
      <c r="C25" s="24">
        <f>IFERROR(SUMPRODUCT((데이터!$A$2:$A$200=4)*(데이터!$B$2:$B$200=4)*데이터!$C$2:$C$200),"")</f>
        <v/>
      </c>
      <c r="D25" s="24">
        <f>IFERROR(SUMPRODUCT((데이터!$A$2:$A$200=4)*(데이터!$B$2:$B$200=4)*데이터!$D$2:$D$200),"")</f>
        <v/>
      </c>
      <c r="E25" s="12">
        <f>SUMPRODUCT((데이터!$A$2:$A$200=4)*(데이터!$B$2:$B$200=4)*데이터!$E$2:$E$200)</f>
        <v/>
      </c>
      <c r="F25" s="12">
        <f>SUMPRODUCT((데이터!$A$2:$A$200=4)*(데이터!$B$2:$B$200=4)*데이터!$F$2:$F$200)</f>
        <v/>
      </c>
      <c r="G25" s="12">
        <f>IF(E25=0,"",E25+F25)</f>
        <v/>
      </c>
      <c r="H25" s="12">
        <f>IF(E25=0,"",E25*0.15)</f>
        <v/>
      </c>
      <c r="I25" s="12">
        <f>IF(E25=0,"",F25*0.13)</f>
        <v/>
      </c>
      <c r="J25" s="12">
        <f>IF(E25=0,"",H25+I25)</f>
        <v/>
      </c>
      <c r="K25" s="12">
        <f>IF(E25=0,"",J25*0.1)</f>
        <v/>
      </c>
      <c r="L25" s="12">
        <f>IF(AND(E25&lt;&gt;0,B25=4),3000000,0)</f>
        <v/>
      </c>
      <c r="M25" s="12">
        <f>IF(L25=0,0,L25*0.1)</f>
        <v/>
      </c>
      <c r="N25" s="12">
        <f>IF(AND(E25&lt;&gt;0,B25=4),120900,0)</f>
        <v/>
      </c>
      <c r="O25" s="12">
        <f>(SUMPRODUCT((데이터!$A$2:$A$200=4)*(데이터!$B$2:$B$200=4)*데이터!$G$2:$G$200)+SUMPRODUCT((데이터!$A$2:$A$200=4)*(데이터!$B$2:$B$200=4)*데이터!$H$2:$H$200)+SUMPRODUCT((데이터!$A$2:$A$200=4)*(데이터!$B$2:$B$200=4)*데이터!$I$2:$I$200))*0.95</f>
        <v/>
      </c>
      <c r="P25" s="12">
        <f>SUMPRODUCT((데이터!$A$2:$A$200=4)*(데이터!$B$2:$B$200=4)*데이터!$J$2:$J$200)+SUMPRODUCT((데이터!$A$2:$A$200=4)*(데이터!$B$2:$B$200=4)*데이터!$K$2:$K$200)*0.05+SUMPRODUCT((데이터!$A$2:$A$200=4)*(데이터!$B$2:$B$200=4)*데이터!$L$2:$L$200)</f>
        <v/>
      </c>
      <c r="Q25" s="12">
        <f>IF(E25=0,"",J25+K25+L25+M25+N25+O25+P25)</f>
        <v/>
      </c>
      <c r="R25" s="12">
        <f>IF(E25=0,"",E25-Q25)</f>
        <v/>
      </c>
      <c r="S25" s="12">
        <f>IF(E25=0,"",F25-I25-I25*0.1)</f>
        <v/>
      </c>
      <c r="T25" s="24">
        <f>IFERROR(INDEX(데이터!$M$2:$M$200,MATCH(1,(데이터!$A$2:$A$200=4)*(데이터!$B$2:$B$200=4),0)),"")</f>
        <v/>
      </c>
    </row>
    <row r="26">
      <c r="A26" s="23" t="n">
        <v>4</v>
      </c>
      <c r="B26" s="23" t="n">
        <v>5</v>
      </c>
      <c r="C26" s="24">
        <f>IFERROR(SUMPRODUCT((데이터!$A$2:$A$200=4)*(데이터!$B$2:$B$200=5)*데이터!$C$2:$C$200),"")</f>
        <v/>
      </c>
      <c r="D26" s="24">
        <f>IFERROR(SUMPRODUCT((데이터!$A$2:$A$200=4)*(데이터!$B$2:$B$200=5)*데이터!$D$2:$D$200),"")</f>
        <v/>
      </c>
      <c r="E26" s="12">
        <f>SUMPRODUCT((데이터!$A$2:$A$200=4)*(데이터!$B$2:$B$200=5)*데이터!$E$2:$E$200)</f>
        <v/>
      </c>
      <c r="F26" s="12">
        <f>SUMPRODUCT((데이터!$A$2:$A$200=4)*(데이터!$B$2:$B$200=5)*데이터!$F$2:$F$200)</f>
        <v/>
      </c>
      <c r="G26" s="12">
        <f>IF(E26=0,"",E26+F26)</f>
        <v/>
      </c>
      <c r="H26" s="12">
        <f>IF(E26=0,"",E26*0.15)</f>
        <v/>
      </c>
      <c r="I26" s="12">
        <f>IF(E26=0,"",F26*0.13)</f>
        <v/>
      </c>
      <c r="J26" s="12">
        <f>IF(E26=0,"",H26+I26)</f>
        <v/>
      </c>
      <c r="K26" s="12">
        <f>IF(E26=0,"",J26*0.1)</f>
        <v/>
      </c>
      <c r="L26" s="12">
        <f>IF(AND(E26&lt;&gt;0,B26=4),3000000,0)</f>
        <v/>
      </c>
      <c r="M26" s="12">
        <f>IF(L26=0,0,L26*0.1)</f>
        <v/>
      </c>
      <c r="N26" s="12">
        <f>IF(AND(E26&lt;&gt;0,B26=4),120900,0)</f>
        <v/>
      </c>
      <c r="O26" s="12">
        <f>(SUMPRODUCT((데이터!$A$2:$A$200=4)*(데이터!$B$2:$B$200=5)*데이터!$G$2:$G$200)+SUMPRODUCT((데이터!$A$2:$A$200=4)*(데이터!$B$2:$B$200=5)*데이터!$H$2:$H$200)+SUMPRODUCT((데이터!$A$2:$A$200=4)*(데이터!$B$2:$B$200=5)*데이터!$I$2:$I$200))*0.95</f>
        <v/>
      </c>
      <c r="P26" s="12">
        <f>SUMPRODUCT((데이터!$A$2:$A$200=4)*(데이터!$B$2:$B$200=5)*데이터!$J$2:$J$200)+SUMPRODUCT((데이터!$A$2:$A$200=4)*(데이터!$B$2:$B$200=5)*데이터!$K$2:$K$200)*0.05+SUMPRODUCT((데이터!$A$2:$A$200=4)*(데이터!$B$2:$B$200=5)*데이터!$L$2:$L$200)</f>
        <v/>
      </c>
      <c r="Q26" s="12">
        <f>IF(E26=0,"",J26+K26+L26+M26+N26+O26+P26)</f>
        <v/>
      </c>
      <c r="R26" s="12">
        <f>IF(E26=0,"",E26-Q26)</f>
        <v/>
      </c>
      <c r="S26" s="12">
        <f>IF(E26=0,"",F26-I26-I26*0.1)</f>
        <v/>
      </c>
      <c r="T26" s="24">
        <f>IFERROR(INDEX(데이터!$M$2:$M$200,MATCH(1,(데이터!$A$2:$A$200=4)*(데이터!$B$2:$B$200=5),0)),"")</f>
        <v/>
      </c>
    </row>
    <row r="27">
      <c r="A27" s="25" t="inlineStr">
        <is>
          <t>4월</t>
        </is>
      </c>
      <c r="B27" s="25" t="inlineStr">
        <is>
          <t>소계</t>
        </is>
      </c>
      <c r="C27" s="26" t="n"/>
      <c r="D27" s="26" t="n"/>
      <c r="E27" s="27">
        <f>SUM(E22:E26)</f>
        <v/>
      </c>
      <c r="F27" s="27">
        <f>SUM(F22:F26)</f>
        <v/>
      </c>
      <c r="G27" s="27">
        <f>SUM(G22:G26)</f>
        <v/>
      </c>
      <c r="H27" s="27">
        <f>SUM(H22:H26)</f>
        <v/>
      </c>
      <c r="I27" s="27">
        <f>SUM(I22:I26)</f>
        <v/>
      </c>
      <c r="J27" s="27">
        <f>SUM(J22:J26)</f>
        <v/>
      </c>
      <c r="K27" s="27">
        <f>SUM(K22:K26)</f>
        <v/>
      </c>
      <c r="L27" s="27">
        <f>SUM(L22:L26)</f>
        <v/>
      </c>
      <c r="M27" s="27">
        <f>SUM(M22:M26)</f>
        <v/>
      </c>
      <c r="N27" s="27">
        <f>SUM(N22:N26)</f>
        <v/>
      </c>
      <c r="O27" s="27">
        <f>SUM(O22:O26)</f>
        <v/>
      </c>
      <c r="P27" s="27">
        <f>SUM(P22:P26)</f>
        <v/>
      </c>
      <c r="Q27" s="27">
        <f>SUM(Q22:Q26)</f>
        <v/>
      </c>
      <c r="R27" s="27">
        <f>SUM(R22:R26)</f>
        <v/>
      </c>
      <c r="S27" s="27">
        <f>SUM(S22:S26)</f>
        <v/>
      </c>
      <c r="T27" s="26" t="n"/>
    </row>
    <row r="28">
      <c r="A28" s="23" t="n">
        <v>5</v>
      </c>
      <c r="B28" s="23" t="n">
        <v>1</v>
      </c>
      <c r="C28" s="24">
        <f>IFERROR(SUMPRODUCT((데이터!$A$2:$A$200=5)*(데이터!$B$2:$B$200=1)*데이터!$C$2:$C$200),"")</f>
        <v/>
      </c>
      <c r="D28" s="24">
        <f>IFERROR(SUMPRODUCT((데이터!$A$2:$A$200=5)*(데이터!$B$2:$B$200=1)*데이터!$D$2:$D$200),"")</f>
        <v/>
      </c>
      <c r="E28" s="12">
        <f>SUMPRODUCT((데이터!$A$2:$A$200=5)*(데이터!$B$2:$B$200=1)*데이터!$E$2:$E$200)</f>
        <v/>
      </c>
      <c r="F28" s="12">
        <f>SUMPRODUCT((데이터!$A$2:$A$200=5)*(데이터!$B$2:$B$200=1)*데이터!$F$2:$F$200)</f>
        <v/>
      </c>
      <c r="G28" s="12">
        <f>IF(E28=0,"",E28+F28)</f>
        <v/>
      </c>
      <c r="H28" s="12">
        <f>IF(E28=0,"",E28*0.15)</f>
        <v/>
      </c>
      <c r="I28" s="12">
        <f>IF(E28=0,"",F28*0.13)</f>
        <v/>
      </c>
      <c r="J28" s="12">
        <f>IF(E28=0,"",H28+I28)</f>
        <v/>
      </c>
      <c r="K28" s="12">
        <f>IF(E28=0,"",J28*0.1)</f>
        <v/>
      </c>
      <c r="L28" s="12">
        <f>IF(AND(E28&lt;&gt;0,B28=4),3000000,0)</f>
        <v/>
      </c>
      <c r="M28" s="12">
        <f>IF(L28=0,0,L28*0.1)</f>
        <v/>
      </c>
      <c r="N28" s="12">
        <f>IF(AND(E28&lt;&gt;0,B28=4),120900,0)</f>
        <v/>
      </c>
      <c r="O28" s="12">
        <f>(SUMPRODUCT((데이터!$A$2:$A$200=5)*(데이터!$B$2:$B$200=1)*데이터!$G$2:$G$200)+SUMPRODUCT((데이터!$A$2:$A$200=5)*(데이터!$B$2:$B$200=1)*데이터!$H$2:$H$200)+SUMPRODUCT((데이터!$A$2:$A$200=5)*(데이터!$B$2:$B$200=1)*데이터!$I$2:$I$200))*0.95</f>
        <v/>
      </c>
      <c r="P28" s="12">
        <f>SUMPRODUCT((데이터!$A$2:$A$200=5)*(데이터!$B$2:$B$200=1)*데이터!$J$2:$J$200)+SUMPRODUCT((데이터!$A$2:$A$200=5)*(데이터!$B$2:$B$200=1)*데이터!$K$2:$K$200)*0.05+SUMPRODUCT((데이터!$A$2:$A$200=5)*(데이터!$B$2:$B$200=1)*데이터!$L$2:$L$200)</f>
        <v/>
      </c>
      <c r="Q28" s="12">
        <f>IF(E28=0,"",J28+K28+L28+M28+N28+O28+P28)</f>
        <v/>
      </c>
      <c r="R28" s="12">
        <f>IF(E28=0,"",E28-Q28)</f>
        <v/>
      </c>
      <c r="S28" s="12">
        <f>IF(E28=0,"",F28-I28-I28*0.1)</f>
        <v/>
      </c>
      <c r="T28" s="24">
        <f>IFERROR(INDEX(데이터!$M$2:$M$200,MATCH(1,(데이터!$A$2:$A$200=5)*(데이터!$B$2:$B$200=1),0)),"")</f>
        <v/>
      </c>
    </row>
    <row r="29">
      <c r="A29" s="23" t="n">
        <v>5</v>
      </c>
      <c r="B29" s="23" t="n">
        <v>2</v>
      </c>
      <c r="C29" s="24">
        <f>IFERROR(SUMPRODUCT((데이터!$A$2:$A$200=5)*(데이터!$B$2:$B$200=2)*데이터!$C$2:$C$200),"")</f>
        <v/>
      </c>
      <c r="D29" s="24">
        <f>IFERROR(SUMPRODUCT((데이터!$A$2:$A$200=5)*(데이터!$B$2:$B$200=2)*데이터!$D$2:$D$200),"")</f>
        <v/>
      </c>
      <c r="E29" s="12">
        <f>SUMPRODUCT((데이터!$A$2:$A$200=5)*(데이터!$B$2:$B$200=2)*데이터!$E$2:$E$200)</f>
        <v/>
      </c>
      <c r="F29" s="12">
        <f>SUMPRODUCT((데이터!$A$2:$A$200=5)*(데이터!$B$2:$B$200=2)*데이터!$F$2:$F$200)</f>
        <v/>
      </c>
      <c r="G29" s="12">
        <f>IF(E29=0,"",E29+F29)</f>
        <v/>
      </c>
      <c r="H29" s="12">
        <f>IF(E29=0,"",E29*0.15)</f>
        <v/>
      </c>
      <c r="I29" s="12">
        <f>IF(E29=0,"",F29*0.13)</f>
        <v/>
      </c>
      <c r="J29" s="12">
        <f>IF(E29=0,"",H29+I29)</f>
        <v/>
      </c>
      <c r="K29" s="12">
        <f>IF(E29=0,"",J29*0.1)</f>
        <v/>
      </c>
      <c r="L29" s="12">
        <f>IF(AND(E29&lt;&gt;0,B29=4),3000000,0)</f>
        <v/>
      </c>
      <c r="M29" s="12">
        <f>IF(L29=0,0,L29*0.1)</f>
        <v/>
      </c>
      <c r="N29" s="12">
        <f>IF(AND(E29&lt;&gt;0,B29=4),120900,0)</f>
        <v/>
      </c>
      <c r="O29" s="12">
        <f>(SUMPRODUCT((데이터!$A$2:$A$200=5)*(데이터!$B$2:$B$200=2)*데이터!$G$2:$G$200)+SUMPRODUCT((데이터!$A$2:$A$200=5)*(데이터!$B$2:$B$200=2)*데이터!$H$2:$H$200)+SUMPRODUCT((데이터!$A$2:$A$200=5)*(데이터!$B$2:$B$200=2)*데이터!$I$2:$I$200))*0.95</f>
        <v/>
      </c>
      <c r="P29" s="12">
        <f>SUMPRODUCT((데이터!$A$2:$A$200=5)*(데이터!$B$2:$B$200=2)*데이터!$J$2:$J$200)+SUMPRODUCT((데이터!$A$2:$A$200=5)*(데이터!$B$2:$B$200=2)*데이터!$K$2:$K$200)*0.05+SUMPRODUCT((데이터!$A$2:$A$200=5)*(데이터!$B$2:$B$200=2)*데이터!$L$2:$L$200)</f>
        <v/>
      </c>
      <c r="Q29" s="12">
        <f>IF(E29=0,"",J29+K29+L29+M29+N29+O29+P29)</f>
        <v/>
      </c>
      <c r="R29" s="12">
        <f>IF(E29=0,"",E29-Q29)</f>
        <v/>
      </c>
      <c r="S29" s="12">
        <f>IF(E29=0,"",F29-I29-I29*0.1)</f>
        <v/>
      </c>
      <c r="T29" s="24">
        <f>IFERROR(INDEX(데이터!$M$2:$M$200,MATCH(1,(데이터!$A$2:$A$200=5)*(데이터!$B$2:$B$200=2),0)),"")</f>
        <v/>
      </c>
    </row>
    <row r="30">
      <c r="A30" s="23" t="n">
        <v>5</v>
      </c>
      <c r="B30" s="23" t="n">
        <v>3</v>
      </c>
      <c r="C30" s="24">
        <f>IFERROR(SUMPRODUCT((데이터!$A$2:$A$200=5)*(데이터!$B$2:$B$200=3)*데이터!$C$2:$C$200),"")</f>
        <v/>
      </c>
      <c r="D30" s="24">
        <f>IFERROR(SUMPRODUCT((데이터!$A$2:$A$200=5)*(데이터!$B$2:$B$200=3)*데이터!$D$2:$D$200),"")</f>
        <v/>
      </c>
      <c r="E30" s="12">
        <f>SUMPRODUCT((데이터!$A$2:$A$200=5)*(데이터!$B$2:$B$200=3)*데이터!$E$2:$E$200)</f>
        <v/>
      </c>
      <c r="F30" s="12">
        <f>SUMPRODUCT((데이터!$A$2:$A$200=5)*(데이터!$B$2:$B$200=3)*데이터!$F$2:$F$200)</f>
        <v/>
      </c>
      <c r="G30" s="12">
        <f>IF(E30=0,"",E30+F30)</f>
        <v/>
      </c>
      <c r="H30" s="12">
        <f>IF(E30=0,"",E30*0.15)</f>
        <v/>
      </c>
      <c r="I30" s="12">
        <f>IF(E30=0,"",F30*0.13)</f>
        <v/>
      </c>
      <c r="J30" s="12">
        <f>IF(E30=0,"",H30+I30)</f>
        <v/>
      </c>
      <c r="K30" s="12">
        <f>IF(E30=0,"",J30*0.1)</f>
        <v/>
      </c>
      <c r="L30" s="12">
        <f>IF(AND(E30&lt;&gt;0,B30=4),3000000,0)</f>
        <v/>
      </c>
      <c r="M30" s="12">
        <f>IF(L30=0,0,L30*0.1)</f>
        <v/>
      </c>
      <c r="N30" s="12">
        <f>IF(AND(E30&lt;&gt;0,B30=4),120900,0)</f>
        <v/>
      </c>
      <c r="O30" s="12">
        <f>(SUMPRODUCT((데이터!$A$2:$A$200=5)*(데이터!$B$2:$B$200=3)*데이터!$G$2:$G$200)+SUMPRODUCT((데이터!$A$2:$A$200=5)*(데이터!$B$2:$B$200=3)*데이터!$H$2:$H$200)+SUMPRODUCT((데이터!$A$2:$A$200=5)*(데이터!$B$2:$B$200=3)*데이터!$I$2:$I$200))*0.95</f>
        <v/>
      </c>
      <c r="P30" s="12">
        <f>SUMPRODUCT((데이터!$A$2:$A$200=5)*(데이터!$B$2:$B$200=3)*데이터!$J$2:$J$200)+SUMPRODUCT((데이터!$A$2:$A$200=5)*(데이터!$B$2:$B$200=3)*데이터!$K$2:$K$200)*0.05+SUMPRODUCT((데이터!$A$2:$A$200=5)*(데이터!$B$2:$B$200=3)*데이터!$L$2:$L$200)</f>
        <v/>
      </c>
      <c r="Q30" s="12">
        <f>IF(E30=0,"",J30+K30+L30+M30+N30+O30+P30)</f>
        <v/>
      </c>
      <c r="R30" s="12">
        <f>IF(E30=0,"",E30-Q30)</f>
        <v/>
      </c>
      <c r="S30" s="12">
        <f>IF(E30=0,"",F30-I30-I30*0.1)</f>
        <v/>
      </c>
      <c r="T30" s="24">
        <f>IFERROR(INDEX(데이터!$M$2:$M$200,MATCH(1,(데이터!$A$2:$A$200=5)*(데이터!$B$2:$B$200=3),0)),"")</f>
        <v/>
      </c>
    </row>
    <row r="31">
      <c r="A31" s="23" t="n">
        <v>5</v>
      </c>
      <c r="B31" s="23" t="n">
        <v>4</v>
      </c>
      <c r="C31" s="24">
        <f>IFERROR(SUMPRODUCT((데이터!$A$2:$A$200=5)*(데이터!$B$2:$B$200=4)*데이터!$C$2:$C$200),"")</f>
        <v/>
      </c>
      <c r="D31" s="24">
        <f>IFERROR(SUMPRODUCT((데이터!$A$2:$A$200=5)*(데이터!$B$2:$B$200=4)*데이터!$D$2:$D$200),"")</f>
        <v/>
      </c>
      <c r="E31" s="12">
        <f>SUMPRODUCT((데이터!$A$2:$A$200=5)*(데이터!$B$2:$B$200=4)*데이터!$E$2:$E$200)</f>
        <v/>
      </c>
      <c r="F31" s="12">
        <f>SUMPRODUCT((데이터!$A$2:$A$200=5)*(데이터!$B$2:$B$200=4)*데이터!$F$2:$F$200)</f>
        <v/>
      </c>
      <c r="G31" s="12">
        <f>IF(E31=0,"",E31+F31)</f>
        <v/>
      </c>
      <c r="H31" s="12">
        <f>IF(E31=0,"",E31*0.15)</f>
        <v/>
      </c>
      <c r="I31" s="12">
        <f>IF(E31=0,"",F31*0.13)</f>
        <v/>
      </c>
      <c r="J31" s="12">
        <f>IF(E31=0,"",H31+I31)</f>
        <v/>
      </c>
      <c r="K31" s="12">
        <f>IF(E31=0,"",J31*0.1)</f>
        <v/>
      </c>
      <c r="L31" s="12">
        <f>IF(AND(E31&lt;&gt;0,B31=4),3000000,0)</f>
        <v/>
      </c>
      <c r="M31" s="12">
        <f>IF(L31=0,0,L31*0.1)</f>
        <v/>
      </c>
      <c r="N31" s="12">
        <f>IF(AND(E31&lt;&gt;0,B31=4),120900,0)</f>
        <v/>
      </c>
      <c r="O31" s="12">
        <f>(SUMPRODUCT((데이터!$A$2:$A$200=5)*(데이터!$B$2:$B$200=4)*데이터!$G$2:$G$200)+SUMPRODUCT((데이터!$A$2:$A$200=5)*(데이터!$B$2:$B$200=4)*데이터!$H$2:$H$200)+SUMPRODUCT((데이터!$A$2:$A$200=5)*(데이터!$B$2:$B$200=4)*데이터!$I$2:$I$200))*0.95</f>
        <v/>
      </c>
      <c r="P31" s="12">
        <f>SUMPRODUCT((데이터!$A$2:$A$200=5)*(데이터!$B$2:$B$200=4)*데이터!$J$2:$J$200)+SUMPRODUCT((데이터!$A$2:$A$200=5)*(데이터!$B$2:$B$200=4)*데이터!$K$2:$K$200)*0.05+SUMPRODUCT((데이터!$A$2:$A$200=5)*(데이터!$B$2:$B$200=4)*데이터!$L$2:$L$200)</f>
        <v/>
      </c>
      <c r="Q31" s="12">
        <f>IF(E31=0,"",J31+K31+L31+M31+N31+O31+P31)</f>
        <v/>
      </c>
      <c r="R31" s="12">
        <f>IF(E31=0,"",E31-Q31)</f>
        <v/>
      </c>
      <c r="S31" s="12">
        <f>IF(E31=0,"",F31-I31-I31*0.1)</f>
        <v/>
      </c>
      <c r="T31" s="24">
        <f>IFERROR(INDEX(데이터!$M$2:$M$200,MATCH(1,(데이터!$A$2:$A$200=5)*(데이터!$B$2:$B$200=4),0)),"")</f>
        <v/>
      </c>
    </row>
    <row r="32">
      <c r="A32" s="23" t="n">
        <v>5</v>
      </c>
      <c r="B32" s="23" t="n">
        <v>5</v>
      </c>
      <c r="C32" s="24">
        <f>IFERROR(SUMPRODUCT((데이터!$A$2:$A$200=5)*(데이터!$B$2:$B$200=5)*데이터!$C$2:$C$200),"")</f>
        <v/>
      </c>
      <c r="D32" s="24">
        <f>IFERROR(SUMPRODUCT((데이터!$A$2:$A$200=5)*(데이터!$B$2:$B$200=5)*데이터!$D$2:$D$200),"")</f>
        <v/>
      </c>
      <c r="E32" s="12">
        <f>SUMPRODUCT((데이터!$A$2:$A$200=5)*(데이터!$B$2:$B$200=5)*데이터!$E$2:$E$200)</f>
        <v/>
      </c>
      <c r="F32" s="12">
        <f>SUMPRODUCT((데이터!$A$2:$A$200=5)*(데이터!$B$2:$B$200=5)*데이터!$F$2:$F$200)</f>
        <v/>
      </c>
      <c r="G32" s="12">
        <f>IF(E32=0,"",E32+F32)</f>
        <v/>
      </c>
      <c r="H32" s="12">
        <f>IF(E32=0,"",E32*0.15)</f>
        <v/>
      </c>
      <c r="I32" s="12">
        <f>IF(E32=0,"",F32*0.13)</f>
        <v/>
      </c>
      <c r="J32" s="12">
        <f>IF(E32=0,"",H32+I32)</f>
        <v/>
      </c>
      <c r="K32" s="12">
        <f>IF(E32=0,"",J32*0.1)</f>
        <v/>
      </c>
      <c r="L32" s="12">
        <f>IF(AND(E32&lt;&gt;0,B32=4),3000000,0)</f>
        <v/>
      </c>
      <c r="M32" s="12">
        <f>IF(L32=0,0,L32*0.1)</f>
        <v/>
      </c>
      <c r="N32" s="12">
        <f>IF(AND(E32&lt;&gt;0,B32=4),120900,0)</f>
        <v/>
      </c>
      <c r="O32" s="12">
        <f>(SUMPRODUCT((데이터!$A$2:$A$200=5)*(데이터!$B$2:$B$200=5)*데이터!$G$2:$G$200)+SUMPRODUCT((데이터!$A$2:$A$200=5)*(데이터!$B$2:$B$200=5)*데이터!$H$2:$H$200)+SUMPRODUCT((데이터!$A$2:$A$200=5)*(데이터!$B$2:$B$200=5)*데이터!$I$2:$I$200))*0.95</f>
        <v/>
      </c>
      <c r="P32" s="12">
        <f>SUMPRODUCT((데이터!$A$2:$A$200=5)*(데이터!$B$2:$B$200=5)*데이터!$J$2:$J$200)+SUMPRODUCT((데이터!$A$2:$A$200=5)*(데이터!$B$2:$B$200=5)*데이터!$K$2:$K$200)*0.05+SUMPRODUCT((데이터!$A$2:$A$200=5)*(데이터!$B$2:$B$200=5)*데이터!$L$2:$L$200)</f>
        <v/>
      </c>
      <c r="Q32" s="12">
        <f>IF(E32=0,"",J32+K32+L32+M32+N32+O32+P32)</f>
        <v/>
      </c>
      <c r="R32" s="12">
        <f>IF(E32=0,"",E32-Q32)</f>
        <v/>
      </c>
      <c r="S32" s="12">
        <f>IF(E32=0,"",F32-I32-I32*0.1)</f>
        <v/>
      </c>
      <c r="T32" s="24">
        <f>IFERROR(INDEX(데이터!$M$2:$M$200,MATCH(1,(데이터!$A$2:$A$200=5)*(데이터!$B$2:$B$200=5),0)),"")</f>
        <v/>
      </c>
    </row>
    <row r="33">
      <c r="A33" s="25" t="inlineStr">
        <is>
          <t>5월</t>
        </is>
      </c>
      <c r="B33" s="25" t="inlineStr">
        <is>
          <t>소계</t>
        </is>
      </c>
      <c r="C33" s="26" t="n"/>
      <c r="D33" s="26" t="n"/>
      <c r="E33" s="27">
        <f>SUM(E28:E32)</f>
        <v/>
      </c>
      <c r="F33" s="27">
        <f>SUM(F28:F32)</f>
        <v/>
      </c>
      <c r="G33" s="27">
        <f>SUM(G28:G32)</f>
        <v/>
      </c>
      <c r="H33" s="27">
        <f>SUM(H28:H32)</f>
        <v/>
      </c>
      <c r="I33" s="27">
        <f>SUM(I28:I32)</f>
        <v/>
      </c>
      <c r="J33" s="27">
        <f>SUM(J28:J32)</f>
        <v/>
      </c>
      <c r="K33" s="27">
        <f>SUM(K28:K32)</f>
        <v/>
      </c>
      <c r="L33" s="27">
        <f>SUM(L28:L32)</f>
        <v/>
      </c>
      <c r="M33" s="27">
        <f>SUM(M28:M32)</f>
        <v/>
      </c>
      <c r="N33" s="27">
        <f>SUM(N28:N32)</f>
        <v/>
      </c>
      <c r="O33" s="27">
        <f>SUM(O28:O32)</f>
        <v/>
      </c>
      <c r="P33" s="27">
        <f>SUM(P28:P32)</f>
        <v/>
      </c>
      <c r="Q33" s="27">
        <f>SUM(Q28:Q32)</f>
        <v/>
      </c>
      <c r="R33" s="27">
        <f>SUM(R28:R32)</f>
        <v/>
      </c>
      <c r="S33" s="27">
        <f>SUM(S28:S32)</f>
        <v/>
      </c>
      <c r="T33" s="26" t="n"/>
    </row>
    <row r="34">
      <c r="A34" s="23" t="n">
        <v>6</v>
      </c>
      <c r="B34" s="23" t="n">
        <v>1</v>
      </c>
      <c r="C34" s="24">
        <f>IFERROR(SUMPRODUCT((데이터!$A$2:$A$200=6)*(데이터!$B$2:$B$200=1)*데이터!$C$2:$C$200),"")</f>
        <v/>
      </c>
      <c r="D34" s="24">
        <f>IFERROR(SUMPRODUCT((데이터!$A$2:$A$200=6)*(데이터!$B$2:$B$200=1)*데이터!$D$2:$D$200),"")</f>
        <v/>
      </c>
      <c r="E34" s="12">
        <f>SUMPRODUCT((데이터!$A$2:$A$200=6)*(데이터!$B$2:$B$200=1)*데이터!$E$2:$E$200)</f>
        <v/>
      </c>
      <c r="F34" s="12">
        <f>SUMPRODUCT((데이터!$A$2:$A$200=6)*(데이터!$B$2:$B$200=1)*데이터!$F$2:$F$200)</f>
        <v/>
      </c>
      <c r="G34" s="12">
        <f>IF(E34=0,"",E34+F34)</f>
        <v/>
      </c>
      <c r="H34" s="12">
        <f>IF(E34=0,"",E34*0.15)</f>
        <v/>
      </c>
      <c r="I34" s="12">
        <f>IF(E34=0,"",F34*0.13)</f>
        <v/>
      </c>
      <c r="J34" s="12">
        <f>IF(E34=0,"",H34+I34)</f>
        <v/>
      </c>
      <c r="K34" s="12">
        <f>IF(E34=0,"",J34*0.1)</f>
        <v/>
      </c>
      <c r="L34" s="12">
        <f>IF(AND(E34&lt;&gt;0,B34=4),3000000,0)</f>
        <v/>
      </c>
      <c r="M34" s="12">
        <f>IF(L34=0,0,L34*0.1)</f>
        <v/>
      </c>
      <c r="N34" s="12">
        <f>IF(AND(E34&lt;&gt;0,B34=4),120900,0)</f>
        <v/>
      </c>
      <c r="O34" s="12">
        <f>(SUMPRODUCT((데이터!$A$2:$A$200=6)*(데이터!$B$2:$B$200=1)*데이터!$G$2:$G$200)+SUMPRODUCT((데이터!$A$2:$A$200=6)*(데이터!$B$2:$B$200=1)*데이터!$H$2:$H$200)+SUMPRODUCT((데이터!$A$2:$A$200=6)*(데이터!$B$2:$B$200=1)*데이터!$I$2:$I$200))*0.95</f>
        <v/>
      </c>
      <c r="P34" s="12">
        <f>SUMPRODUCT((데이터!$A$2:$A$200=6)*(데이터!$B$2:$B$200=1)*데이터!$J$2:$J$200)+SUMPRODUCT((데이터!$A$2:$A$200=6)*(데이터!$B$2:$B$200=1)*데이터!$K$2:$K$200)*0.05+SUMPRODUCT((데이터!$A$2:$A$200=6)*(데이터!$B$2:$B$200=1)*데이터!$L$2:$L$200)</f>
        <v/>
      </c>
      <c r="Q34" s="12">
        <f>IF(E34=0,"",J34+K34+L34+M34+N34+O34+P34)</f>
        <v/>
      </c>
      <c r="R34" s="12">
        <f>IF(E34=0,"",E34-Q34)</f>
        <v/>
      </c>
      <c r="S34" s="12">
        <f>IF(E34=0,"",F34-I34-I34*0.1)</f>
        <v/>
      </c>
      <c r="T34" s="24">
        <f>IFERROR(INDEX(데이터!$M$2:$M$200,MATCH(1,(데이터!$A$2:$A$200=6)*(데이터!$B$2:$B$200=1),0)),"")</f>
        <v/>
      </c>
    </row>
    <row r="35">
      <c r="A35" s="23" t="n">
        <v>6</v>
      </c>
      <c r="B35" s="23" t="n">
        <v>2</v>
      </c>
      <c r="C35" s="24">
        <f>IFERROR(SUMPRODUCT((데이터!$A$2:$A$200=6)*(데이터!$B$2:$B$200=2)*데이터!$C$2:$C$200),"")</f>
        <v/>
      </c>
      <c r="D35" s="24">
        <f>IFERROR(SUMPRODUCT((데이터!$A$2:$A$200=6)*(데이터!$B$2:$B$200=2)*데이터!$D$2:$D$200),"")</f>
        <v/>
      </c>
      <c r="E35" s="12">
        <f>SUMPRODUCT((데이터!$A$2:$A$200=6)*(데이터!$B$2:$B$200=2)*데이터!$E$2:$E$200)</f>
        <v/>
      </c>
      <c r="F35" s="12">
        <f>SUMPRODUCT((데이터!$A$2:$A$200=6)*(데이터!$B$2:$B$200=2)*데이터!$F$2:$F$200)</f>
        <v/>
      </c>
      <c r="G35" s="12">
        <f>IF(E35=0,"",E35+F35)</f>
        <v/>
      </c>
      <c r="H35" s="12">
        <f>IF(E35=0,"",E35*0.15)</f>
        <v/>
      </c>
      <c r="I35" s="12">
        <f>IF(E35=0,"",F35*0.13)</f>
        <v/>
      </c>
      <c r="J35" s="12">
        <f>IF(E35=0,"",H35+I35)</f>
        <v/>
      </c>
      <c r="K35" s="12">
        <f>IF(E35=0,"",J35*0.1)</f>
        <v/>
      </c>
      <c r="L35" s="12">
        <f>IF(AND(E35&lt;&gt;0,B35=4),3000000,0)</f>
        <v/>
      </c>
      <c r="M35" s="12">
        <f>IF(L35=0,0,L35*0.1)</f>
        <v/>
      </c>
      <c r="N35" s="12">
        <f>IF(AND(E35&lt;&gt;0,B35=4),120900,0)</f>
        <v/>
      </c>
      <c r="O35" s="12">
        <f>(SUMPRODUCT((데이터!$A$2:$A$200=6)*(데이터!$B$2:$B$200=2)*데이터!$G$2:$G$200)+SUMPRODUCT((데이터!$A$2:$A$200=6)*(데이터!$B$2:$B$200=2)*데이터!$H$2:$H$200)+SUMPRODUCT((데이터!$A$2:$A$200=6)*(데이터!$B$2:$B$200=2)*데이터!$I$2:$I$200))*0.95</f>
        <v/>
      </c>
      <c r="P35" s="12">
        <f>SUMPRODUCT((데이터!$A$2:$A$200=6)*(데이터!$B$2:$B$200=2)*데이터!$J$2:$J$200)+SUMPRODUCT((데이터!$A$2:$A$200=6)*(데이터!$B$2:$B$200=2)*데이터!$K$2:$K$200)*0.05+SUMPRODUCT((데이터!$A$2:$A$200=6)*(데이터!$B$2:$B$200=2)*데이터!$L$2:$L$200)</f>
        <v/>
      </c>
      <c r="Q35" s="12">
        <f>IF(E35=0,"",J35+K35+L35+M35+N35+O35+P35)</f>
        <v/>
      </c>
      <c r="R35" s="12">
        <f>IF(E35=0,"",E35-Q35)</f>
        <v/>
      </c>
      <c r="S35" s="12">
        <f>IF(E35=0,"",F35-I35-I35*0.1)</f>
        <v/>
      </c>
      <c r="T35" s="24">
        <f>IFERROR(INDEX(데이터!$M$2:$M$200,MATCH(1,(데이터!$A$2:$A$200=6)*(데이터!$B$2:$B$200=2),0)),"")</f>
        <v/>
      </c>
    </row>
    <row r="36">
      <c r="A36" s="23" t="n">
        <v>6</v>
      </c>
      <c r="B36" s="23" t="n">
        <v>3</v>
      </c>
      <c r="C36" s="24">
        <f>IFERROR(SUMPRODUCT((데이터!$A$2:$A$200=6)*(데이터!$B$2:$B$200=3)*데이터!$C$2:$C$200),"")</f>
        <v/>
      </c>
      <c r="D36" s="24">
        <f>IFERROR(SUMPRODUCT((데이터!$A$2:$A$200=6)*(데이터!$B$2:$B$200=3)*데이터!$D$2:$D$200),"")</f>
        <v/>
      </c>
      <c r="E36" s="12">
        <f>SUMPRODUCT((데이터!$A$2:$A$200=6)*(데이터!$B$2:$B$200=3)*데이터!$E$2:$E$200)</f>
        <v/>
      </c>
      <c r="F36" s="12">
        <f>SUMPRODUCT((데이터!$A$2:$A$200=6)*(데이터!$B$2:$B$200=3)*데이터!$F$2:$F$200)</f>
        <v/>
      </c>
      <c r="G36" s="12">
        <f>IF(E36=0,"",E36+F36)</f>
        <v/>
      </c>
      <c r="H36" s="12">
        <f>IF(E36=0,"",E36*0.15)</f>
        <v/>
      </c>
      <c r="I36" s="12">
        <f>IF(E36=0,"",F36*0.13)</f>
        <v/>
      </c>
      <c r="J36" s="12">
        <f>IF(E36=0,"",H36+I36)</f>
        <v/>
      </c>
      <c r="K36" s="12">
        <f>IF(E36=0,"",J36*0.1)</f>
        <v/>
      </c>
      <c r="L36" s="12">
        <f>IF(AND(E36&lt;&gt;0,B36=4),3000000,0)</f>
        <v/>
      </c>
      <c r="M36" s="12">
        <f>IF(L36=0,0,L36*0.1)</f>
        <v/>
      </c>
      <c r="N36" s="12">
        <f>IF(AND(E36&lt;&gt;0,B36=4),120900,0)</f>
        <v/>
      </c>
      <c r="O36" s="12">
        <f>(SUMPRODUCT((데이터!$A$2:$A$200=6)*(데이터!$B$2:$B$200=3)*데이터!$G$2:$G$200)+SUMPRODUCT((데이터!$A$2:$A$200=6)*(데이터!$B$2:$B$200=3)*데이터!$H$2:$H$200)+SUMPRODUCT((데이터!$A$2:$A$200=6)*(데이터!$B$2:$B$200=3)*데이터!$I$2:$I$200))*0.95</f>
        <v/>
      </c>
      <c r="P36" s="12">
        <f>SUMPRODUCT((데이터!$A$2:$A$200=6)*(데이터!$B$2:$B$200=3)*데이터!$J$2:$J$200)+SUMPRODUCT((데이터!$A$2:$A$200=6)*(데이터!$B$2:$B$200=3)*데이터!$K$2:$K$200)*0.05+SUMPRODUCT((데이터!$A$2:$A$200=6)*(데이터!$B$2:$B$200=3)*데이터!$L$2:$L$200)</f>
        <v/>
      </c>
      <c r="Q36" s="12">
        <f>IF(E36=0,"",J36+K36+L36+M36+N36+O36+P36)</f>
        <v/>
      </c>
      <c r="R36" s="12">
        <f>IF(E36=0,"",E36-Q36)</f>
        <v/>
      </c>
      <c r="S36" s="12">
        <f>IF(E36=0,"",F36-I36-I36*0.1)</f>
        <v/>
      </c>
      <c r="T36" s="24">
        <f>IFERROR(INDEX(데이터!$M$2:$M$200,MATCH(1,(데이터!$A$2:$A$200=6)*(데이터!$B$2:$B$200=3),0)),"")</f>
        <v/>
      </c>
    </row>
    <row r="37">
      <c r="A37" s="23" t="n">
        <v>6</v>
      </c>
      <c r="B37" s="23" t="n">
        <v>4</v>
      </c>
      <c r="C37" s="24">
        <f>IFERROR(SUMPRODUCT((데이터!$A$2:$A$200=6)*(데이터!$B$2:$B$200=4)*데이터!$C$2:$C$200),"")</f>
        <v/>
      </c>
      <c r="D37" s="24">
        <f>IFERROR(SUMPRODUCT((데이터!$A$2:$A$200=6)*(데이터!$B$2:$B$200=4)*데이터!$D$2:$D$200),"")</f>
        <v/>
      </c>
      <c r="E37" s="12">
        <f>SUMPRODUCT((데이터!$A$2:$A$200=6)*(데이터!$B$2:$B$200=4)*데이터!$E$2:$E$200)</f>
        <v/>
      </c>
      <c r="F37" s="12">
        <f>SUMPRODUCT((데이터!$A$2:$A$200=6)*(데이터!$B$2:$B$200=4)*데이터!$F$2:$F$200)</f>
        <v/>
      </c>
      <c r="G37" s="12">
        <f>IF(E37=0,"",E37+F37)</f>
        <v/>
      </c>
      <c r="H37" s="12">
        <f>IF(E37=0,"",E37*0.15)</f>
        <v/>
      </c>
      <c r="I37" s="12">
        <f>IF(E37=0,"",F37*0.13)</f>
        <v/>
      </c>
      <c r="J37" s="12">
        <f>IF(E37=0,"",H37+I37)</f>
        <v/>
      </c>
      <c r="K37" s="12">
        <f>IF(E37=0,"",J37*0.1)</f>
        <v/>
      </c>
      <c r="L37" s="12">
        <f>IF(AND(E37&lt;&gt;0,B37=4),3000000,0)</f>
        <v/>
      </c>
      <c r="M37" s="12">
        <f>IF(L37=0,0,L37*0.1)</f>
        <v/>
      </c>
      <c r="N37" s="12">
        <f>IF(AND(E37&lt;&gt;0,B37=4),120900,0)</f>
        <v/>
      </c>
      <c r="O37" s="12">
        <f>(SUMPRODUCT((데이터!$A$2:$A$200=6)*(데이터!$B$2:$B$200=4)*데이터!$G$2:$G$200)+SUMPRODUCT((데이터!$A$2:$A$200=6)*(데이터!$B$2:$B$200=4)*데이터!$H$2:$H$200)+SUMPRODUCT((데이터!$A$2:$A$200=6)*(데이터!$B$2:$B$200=4)*데이터!$I$2:$I$200))*0.95</f>
        <v/>
      </c>
      <c r="P37" s="12">
        <f>SUMPRODUCT((데이터!$A$2:$A$200=6)*(데이터!$B$2:$B$200=4)*데이터!$J$2:$J$200)+SUMPRODUCT((데이터!$A$2:$A$200=6)*(데이터!$B$2:$B$200=4)*데이터!$K$2:$K$200)*0.05+SUMPRODUCT((데이터!$A$2:$A$200=6)*(데이터!$B$2:$B$200=4)*데이터!$L$2:$L$200)</f>
        <v/>
      </c>
      <c r="Q37" s="12">
        <f>IF(E37=0,"",J37+K37+L37+M37+N37+O37+P37)</f>
        <v/>
      </c>
      <c r="R37" s="12">
        <f>IF(E37=0,"",E37-Q37)</f>
        <v/>
      </c>
      <c r="S37" s="12">
        <f>IF(E37=0,"",F37-I37-I37*0.1)</f>
        <v/>
      </c>
      <c r="T37" s="24">
        <f>IFERROR(INDEX(데이터!$M$2:$M$200,MATCH(1,(데이터!$A$2:$A$200=6)*(데이터!$B$2:$B$200=4),0)),"")</f>
        <v/>
      </c>
    </row>
    <row r="38">
      <c r="A38" s="23" t="n">
        <v>6</v>
      </c>
      <c r="B38" s="23" t="n">
        <v>5</v>
      </c>
      <c r="C38" s="24">
        <f>IFERROR(SUMPRODUCT((데이터!$A$2:$A$200=6)*(데이터!$B$2:$B$200=5)*데이터!$C$2:$C$200),"")</f>
        <v/>
      </c>
      <c r="D38" s="24">
        <f>IFERROR(SUMPRODUCT((데이터!$A$2:$A$200=6)*(데이터!$B$2:$B$200=5)*데이터!$D$2:$D$200),"")</f>
        <v/>
      </c>
      <c r="E38" s="12">
        <f>SUMPRODUCT((데이터!$A$2:$A$200=6)*(데이터!$B$2:$B$200=5)*데이터!$E$2:$E$200)</f>
        <v/>
      </c>
      <c r="F38" s="12">
        <f>SUMPRODUCT((데이터!$A$2:$A$200=6)*(데이터!$B$2:$B$200=5)*데이터!$F$2:$F$200)</f>
        <v/>
      </c>
      <c r="G38" s="12">
        <f>IF(E38=0,"",E38+F38)</f>
        <v/>
      </c>
      <c r="H38" s="12">
        <f>IF(E38=0,"",E38*0.15)</f>
        <v/>
      </c>
      <c r="I38" s="12">
        <f>IF(E38=0,"",F38*0.13)</f>
        <v/>
      </c>
      <c r="J38" s="12">
        <f>IF(E38=0,"",H38+I38)</f>
        <v/>
      </c>
      <c r="K38" s="12">
        <f>IF(E38=0,"",J38*0.1)</f>
        <v/>
      </c>
      <c r="L38" s="12">
        <f>IF(AND(E38&lt;&gt;0,B38=4),3000000,0)</f>
        <v/>
      </c>
      <c r="M38" s="12">
        <f>IF(L38=0,0,L38*0.1)</f>
        <v/>
      </c>
      <c r="N38" s="12">
        <f>IF(AND(E38&lt;&gt;0,B38=4),120900,0)</f>
        <v/>
      </c>
      <c r="O38" s="12">
        <f>(SUMPRODUCT((데이터!$A$2:$A$200=6)*(데이터!$B$2:$B$200=5)*데이터!$G$2:$G$200)+SUMPRODUCT((데이터!$A$2:$A$200=6)*(데이터!$B$2:$B$200=5)*데이터!$H$2:$H$200)+SUMPRODUCT((데이터!$A$2:$A$200=6)*(데이터!$B$2:$B$200=5)*데이터!$I$2:$I$200))*0.95</f>
        <v/>
      </c>
      <c r="P38" s="12">
        <f>SUMPRODUCT((데이터!$A$2:$A$200=6)*(데이터!$B$2:$B$200=5)*데이터!$J$2:$J$200)+SUMPRODUCT((데이터!$A$2:$A$200=6)*(데이터!$B$2:$B$200=5)*데이터!$K$2:$K$200)*0.05+SUMPRODUCT((데이터!$A$2:$A$200=6)*(데이터!$B$2:$B$200=5)*데이터!$L$2:$L$200)</f>
        <v/>
      </c>
      <c r="Q38" s="12">
        <f>IF(E38=0,"",J38+K38+L38+M38+N38+O38+P38)</f>
        <v/>
      </c>
      <c r="R38" s="12">
        <f>IF(E38=0,"",E38-Q38)</f>
        <v/>
      </c>
      <c r="S38" s="12">
        <f>IF(E38=0,"",F38-I38-I38*0.1)</f>
        <v/>
      </c>
      <c r="T38" s="24">
        <f>IFERROR(INDEX(데이터!$M$2:$M$200,MATCH(1,(데이터!$A$2:$A$200=6)*(데이터!$B$2:$B$200=5),0)),"")</f>
        <v/>
      </c>
    </row>
    <row r="39">
      <c r="A39" s="25" t="inlineStr">
        <is>
          <t>6월</t>
        </is>
      </c>
      <c r="B39" s="25" t="inlineStr">
        <is>
          <t>소계</t>
        </is>
      </c>
      <c r="C39" s="26" t="n"/>
      <c r="D39" s="26" t="n"/>
      <c r="E39" s="27">
        <f>SUM(E34:E38)</f>
        <v/>
      </c>
      <c r="F39" s="27">
        <f>SUM(F34:F38)</f>
        <v/>
      </c>
      <c r="G39" s="27">
        <f>SUM(G34:G38)</f>
        <v/>
      </c>
      <c r="H39" s="27">
        <f>SUM(H34:H38)</f>
        <v/>
      </c>
      <c r="I39" s="27">
        <f>SUM(I34:I38)</f>
        <v/>
      </c>
      <c r="J39" s="27">
        <f>SUM(J34:J38)</f>
        <v/>
      </c>
      <c r="K39" s="27">
        <f>SUM(K34:K38)</f>
        <v/>
      </c>
      <c r="L39" s="27">
        <f>SUM(L34:L38)</f>
        <v/>
      </c>
      <c r="M39" s="27">
        <f>SUM(M34:M38)</f>
        <v/>
      </c>
      <c r="N39" s="27">
        <f>SUM(N34:N38)</f>
        <v/>
      </c>
      <c r="O39" s="27">
        <f>SUM(O34:O38)</f>
        <v/>
      </c>
      <c r="P39" s="27">
        <f>SUM(P34:P38)</f>
        <v/>
      </c>
      <c r="Q39" s="27">
        <f>SUM(Q34:Q38)</f>
        <v/>
      </c>
      <c r="R39" s="27">
        <f>SUM(R34:R38)</f>
        <v/>
      </c>
      <c r="S39" s="27">
        <f>SUM(S34:S38)</f>
        <v/>
      </c>
      <c r="T39" s="26" t="n"/>
    </row>
    <row r="40">
      <c r="A40" s="23" t="n">
        <v>7</v>
      </c>
      <c r="B40" s="23" t="n">
        <v>1</v>
      </c>
      <c r="C40" s="24">
        <f>IFERROR(SUMPRODUCT((데이터!$A$2:$A$200=7)*(데이터!$B$2:$B$200=1)*데이터!$C$2:$C$200),"")</f>
        <v/>
      </c>
      <c r="D40" s="24">
        <f>IFERROR(SUMPRODUCT((데이터!$A$2:$A$200=7)*(데이터!$B$2:$B$200=1)*데이터!$D$2:$D$200),"")</f>
        <v/>
      </c>
      <c r="E40" s="12">
        <f>SUMPRODUCT((데이터!$A$2:$A$200=7)*(데이터!$B$2:$B$200=1)*데이터!$E$2:$E$200)</f>
        <v/>
      </c>
      <c r="F40" s="12">
        <f>SUMPRODUCT((데이터!$A$2:$A$200=7)*(데이터!$B$2:$B$200=1)*데이터!$F$2:$F$200)</f>
        <v/>
      </c>
      <c r="G40" s="12">
        <f>IF(E40=0,"",E40+F40)</f>
        <v/>
      </c>
      <c r="H40" s="12">
        <f>IF(E40=0,"",E40*0.15)</f>
        <v/>
      </c>
      <c r="I40" s="12">
        <f>IF(E40=0,"",F40*0.13)</f>
        <v/>
      </c>
      <c r="J40" s="12">
        <f>IF(E40=0,"",H40+I40)</f>
        <v/>
      </c>
      <c r="K40" s="12">
        <f>IF(E40=0,"",J40*0.1)</f>
        <v/>
      </c>
      <c r="L40" s="12">
        <f>IF(AND(E40&lt;&gt;0,B40=4),3000000,0)</f>
        <v/>
      </c>
      <c r="M40" s="12">
        <f>IF(L40=0,0,L40*0.1)</f>
        <v/>
      </c>
      <c r="N40" s="12">
        <f>IF(AND(E40&lt;&gt;0,B40=4),120900,0)</f>
        <v/>
      </c>
      <c r="O40" s="12">
        <f>(SUMPRODUCT((데이터!$A$2:$A$200=7)*(데이터!$B$2:$B$200=1)*데이터!$G$2:$G$200)+SUMPRODUCT((데이터!$A$2:$A$200=7)*(데이터!$B$2:$B$200=1)*데이터!$H$2:$H$200)+SUMPRODUCT((데이터!$A$2:$A$200=7)*(데이터!$B$2:$B$200=1)*데이터!$I$2:$I$200))*0.95</f>
        <v/>
      </c>
      <c r="P40" s="12">
        <f>SUMPRODUCT((데이터!$A$2:$A$200=7)*(데이터!$B$2:$B$200=1)*데이터!$J$2:$J$200)+SUMPRODUCT((데이터!$A$2:$A$200=7)*(데이터!$B$2:$B$200=1)*데이터!$K$2:$K$200)*0.05+SUMPRODUCT((데이터!$A$2:$A$200=7)*(데이터!$B$2:$B$200=1)*데이터!$L$2:$L$200)</f>
        <v/>
      </c>
      <c r="Q40" s="12">
        <f>IF(E40=0,"",J40+K40+L40+M40+N40+O40+P40)</f>
        <v/>
      </c>
      <c r="R40" s="12">
        <f>IF(E40=0,"",E40-Q40)</f>
        <v/>
      </c>
      <c r="S40" s="12">
        <f>IF(E40=0,"",F40-I40-I40*0.1)</f>
        <v/>
      </c>
      <c r="T40" s="24">
        <f>IFERROR(INDEX(데이터!$M$2:$M$200,MATCH(1,(데이터!$A$2:$A$200=7)*(데이터!$B$2:$B$200=1),0)),"")</f>
        <v/>
      </c>
    </row>
    <row r="41">
      <c r="A41" s="23" t="n">
        <v>7</v>
      </c>
      <c r="B41" s="23" t="n">
        <v>2</v>
      </c>
      <c r="C41" s="24">
        <f>IFERROR(SUMPRODUCT((데이터!$A$2:$A$200=7)*(데이터!$B$2:$B$200=2)*데이터!$C$2:$C$200),"")</f>
        <v/>
      </c>
      <c r="D41" s="24">
        <f>IFERROR(SUMPRODUCT((데이터!$A$2:$A$200=7)*(데이터!$B$2:$B$200=2)*데이터!$D$2:$D$200),"")</f>
        <v/>
      </c>
      <c r="E41" s="12">
        <f>SUMPRODUCT((데이터!$A$2:$A$200=7)*(데이터!$B$2:$B$200=2)*데이터!$E$2:$E$200)</f>
        <v/>
      </c>
      <c r="F41" s="12">
        <f>SUMPRODUCT((데이터!$A$2:$A$200=7)*(데이터!$B$2:$B$200=2)*데이터!$F$2:$F$200)</f>
        <v/>
      </c>
      <c r="G41" s="12">
        <f>IF(E41=0,"",E41+F41)</f>
        <v/>
      </c>
      <c r="H41" s="12">
        <f>IF(E41=0,"",E41*0.15)</f>
        <v/>
      </c>
      <c r="I41" s="12">
        <f>IF(E41=0,"",F41*0.13)</f>
        <v/>
      </c>
      <c r="J41" s="12">
        <f>IF(E41=0,"",H41+I41)</f>
        <v/>
      </c>
      <c r="K41" s="12">
        <f>IF(E41=0,"",J41*0.1)</f>
        <v/>
      </c>
      <c r="L41" s="12">
        <f>IF(AND(E41&lt;&gt;0,B41=4),3000000,0)</f>
        <v/>
      </c>
      <c r="M41" s="12">
        <f>IF(L41=0,0,L41*0.1)</f>
        <v/>
      </c>
      <c r="N41" s="12">
        <f>IF(AND(E41&lt;&gt;0,B41=4),120900,0)</f>
        <v/>
      </c>
      <c r="O41" s="12">
        <f>(SUMPRODUCT((데이터!$A$2:$A$200=7)*(데이터!$B$2:$B$200=2)*데이터!$G$2:$G$200)+SUMPRODUCT((데이터!$A$2:$A$200=7)*(데이터!$B$2:$B$200=2)*데이터!$H$2:$H$200)+SUMPRODUCT((데이터!$A$2:$A$200=7)*(데이터!$B$2:$B$200=2)*데이터!$I$2:$I$200))*0.95</f>
        <v/>
      </c>
      <c r="P41" s="12">
        <f>SUMPRODUCT((데이터!$A$2:$A$200=7)*(데이터!$B$2:$B$200=2)*데이터!$J$2:$J$200)+SUMPRODUCT((데이터!$A$2:$A$200=7)*(데이터!$B$2:$B$200=2)*데이터!$K$2:$K$200)*0.05+SUMPRODUCT((데이터!$A$2:$A$200=7)*(데이터!$B$2:$B$200=2)*데이터!$L$2:$L$200)</f>
        <v/>
      </c>
      <c r="Q41" s="12">
        <f>IF(E41=0,"",J41+K41+L41+M41+N41+O41+P41)</f>
        <v/>
      </c>
      <c r="R41" s="12">
        <f>IF(E41=0,"",E41-Q41)</f>
        <v/>
      </c>
      <c r="S41" s="12">
        <f>IF(E41=0,"",F41-I41-I41*0.1)</f>
        <v/>
      </c>
      <c r="T41" s="24">
        <f>IFERROR(INDEX(데이터!$M$2:$M$200,MATCH(1,(데이터!$A$2:$A$200=7)*(데이터!$B$2:$B$200=2),0)),"")</f>
        <v/>
      </c>
    </row>
    <row r="42">
      <c r="A42" s="23" t="n">
        <v>7</v>
      </c>
      <c r="B42" s="23" t="n">
        <v>3</v>
      </c>
      <c r="C42" s="24">
        <f>IFERROR(SUMPRODUCT((데이터!$A$2:$A$200=7)*(데이터!$B$2:$B$200=3)*데이터!$C$2:$C$200),"")</f>
        <v/>
      </c>
      <c r="D42" s="24">
        <f>IFERROR(SUMPRODUCT((데이터!$A$2:$A$200=7)*(데이터!$B$2:$B$200=3)*데이터!$D$2:$D$200),"")</f>
        <v/>
      </c>
      <c r="E42" s="12">
        <f>SUMPRODUCT((데이터!$A$2:$A$200=7)*(데이터!$B$2:$B$200=3)*데이터!$E$2:$E$200)</f>
        <v/>
      </c>
      <c r="F42" s="12">
        <f>SUMPRODUCT((데이터!$A$2:$A$200=7)*(데이터!$B$2:$B$200=3)*데이터!$F$2:$F$200)</f>
        <v/>
      </c>
      <c r="G42" s="12">
        <f>IF(E42=0,"",E42+F42)</f>
        <v/>
      </c>
      <c r="H42" s="12">
        <f>IF(E42=0,"",E42*0.15)</f>
        <v/>
      </c>
      <c r="I42" s="12">
        <f>IF(E42=0,"",F42*0.13)</f>
        <v/>
      </c>
      <c r="J42" s="12">
        <f>IF(E42=0,"",H42+I42)</f>
        <v/>
      </c>
      <c r="K42" s="12">
        <f>IF(E42=0,"",J42*0.1)</f>
        <v/>
      </c>
      <c r="L42" s="12">
        <f>IF(AND(E42&lt;&gt;0,B42=4),3000000,0)</f>
        <v/>
      </c>
      <c r="M42" s="12">
        <f>IF(L42=0,0,L42*0.1)</f>
        <v/>
      </c>
      <c r="N42" s="12">
        <f>IF(AND(E42&lt;&gt;0,B42=4),120900,0)</f>
        <v/>
      </c>
      <c r="O42" s="12">
        <f>(SUMPRODUCT((데이터!$A$2:$A$200=7)*(데이터!$B$2:$B$200=3)*데이터!$G$2:$G$200)+SUMPRODUCT((데이터!$A$2:$A$200=7)*(데이터!$B$2:$B$200=3)*데이터!$H$2:$H$200)+SUMPRODUCT((데이터!$A$2:$A$200=7)*(데이터!$B$2:$B$200=3)*데이터!$I$2:$I$200))*0.95</f>
        <v/>
      </c>
      <c r="P42" s="12">
        <f>SUMPRODUCT((데이터!$A$2:$A$200=7)*(데이터!$B$2:$B$200=3)*데이터!$J$2:$J$200)+SUMPRODUCT((데이터!$A$2:$A$200=7)*(데이터!$B$2:$B$200=3)*데이터!$K$2:$K$200)*0.05+SUMPRODUCT((데이터!$A$2:$A$200=7)*(데이터!$B$2:$B$200=3)*데이터!$L$2:$L$200)</f>
        <v/>
      </c>
      <c r="Q42" s="12">
        <f>IF(E42=0,"",J42+K42+L42+M42+N42+O42+P42)</f>
        <v/>
      </c>
      <c r="R42" s="12">
        <f>IF(E42=0,"",E42-Q42)</f>
        <v/>
      </c>
      <c r="S42" s="12">
        <f>IF(E42=0,"",F42-I42-I42*0.1)</f>
        <v/>
      </c>
      <c r="T42" s="24">
        <f>IFERROR(INDEX(데이터!$M$2:$M$200,MATCH(1,(데이터!$A$2:$A$200=7)*(데이터!$B$2:$B$200=3),0)),"")</f>
        <v/>
      </c>
    </row>
    <row r="43">
      <c r="A43" s="23" t="n">
        <v>7</v>
      </c>
      <c r="B43" s="23" t="n">
        <v>4</v>
      </c>
      <c r="C43" s="24">
        <f>IFERROR(SUMPRODUCT((데이터!$A$2:$A$200=7)*(데이터!$B$2:$B$200=4)*데이터!$C$2:$C$200),"")</f>
        <v/>
      </c>
      <c r="D43" s="24">
        <f>IFERROR(SUMPRODUCT((데이터!$A$2:$A$200=7)*(데이터!$B$2:$B$200=4)*데이터!$D$2:$D$200),"")</f>
        <v/>
      </c>
      <c r="E43" s="12">
        <f>SUMPRODUCT((데이터!$A$2:$A$200=7)*(데이터!$B$2:$B$200=4)*데이터!$E$2:$E$200)</f>
        <v/>
      </c>
      <c r="F43" s="12">
        <f>SUMPRODUCT((데이터!$A$2:$A$200=7)*(데이터!$B$2:$B$200=4)*데이터!$F$2:$F$200)</f>
        <v/>
      </c>
      <c r="G43" s="12">
        <f>IF(E43=0,"",E43+F43)</f>
        <v/>
      </c>
      <c r="H43" s="12">
        <f>IF(E43=0,"",E43*0.15)</f>
        <v/>
      </c>
      <c r="I43" s="12">
        <f>IF(E43=0,"",F43*0.13)</f>
        <v/>
      </c>
      <c r="J43" s="12">
        <f>IF(E43=0,"",H43+I43)</f>
        <v/>
      </c>
      <c r="K43" s="12">
        <f>IF(E43=0,"",J43*0.1)</f>
        <v/>
      </c>
      <c r="L43" s="12">
        <f>IF(AND(E43&lt;&gt;0,B43=4),3000000,0)</f>
        <v/>
      </c>
      <c r="M43" s="12">
        <f>IF(L43=0,0,L43*0.1)</f>
        <v/>
      </c>
      <c r="N43" s="12">
        <f>IF(AND(E43&lt;&gt;0,B43=4),120900,0)</f>
        <v/>
      </c>
      <c r="O43" s="12">
        <f>(SUMPRODUCT((데이터!$A$2:$A$200=7)*(데이터!$B$2:$B$200=4)*데이터!$G$2:$G$200)+SUMPRODUCT((데이터!$A$2:$A$200=7)*(데이터!$B$2:$B$200=4)*데이터!$H$2:$H$200)+SUMPRODUCT((데이터!$A$2:$A$200=7)*(데이터!$B$2:$B$200=4)*데이터!$I$2:$I$200))*0.95</f>
        <v/>
      </c>
      <c r="P43" s="12">
        <f>SUMPRODUCT((데이터!$A$2:$A$200=7)*(데이터!$B$2:$B$200=4)*데이터!$J$2:$J$200)+SUMPRODUCT((데이터!$A$2:$A$200=7)*(데이터!$B$2:$B$200=4)*데이터!$K$2:$K$200)*0.05+SUMPRODUCT((데이터!$A$2:$A$200=7)*(데이터!$B$2:$B$200=4)*데이터!$L$2:$L$200)</f>
        <v/>
      </c>
      <c r="Q43" s="12">
        <f>IF(E43=0,"",J43+K43+L43+M43+N43+O43+P43)</f>
        <v/>
      </c>
      <c r="R43" s="12">
        <f>IF(E43=0,"",E43-Q43)</f>
        <v/>
      </c>
      <c r="S43" s="12">
        <f>IF(E43=0,"",F43-I43-I43*0.1)</f>
        <v/>
      </c>
      <c r="T43" s="24">
        <f>IFERROR(INDEX(데이터!$M$2:$M$200,MATCH(1,(데이터!$A$2:$A$200=7)*(데이터!$B$2:$B$200=4),0)),"")</f>
        <v/>
      </c>
    </row>
    <row r="44">
      <c r="A44" s="23" t="n">
        <v>7</v>
      </c>
      <c r="B44" s="23" t="n">
        <v>5</v>
      </c>
      <c r="C44" s="24">
        <f>IFERROR(SUMPRODUCT((데이터!$A$2:$A$200=7)*(데이터!$B$2:$B$200=5)*데이터!$C$2:$C$200),"")</f>
        <v/>
      </c>
      <c r="D44" s="24">
        <f>IFERROR(SUMPRODUCT((데이터!$A$2:$A$200=7)*(데이터!$B$2:$B$200=5)*데이터!$D$2:$D$200),"")</f>
        <v/>
      </c>
      <c r="E44" s="12">
        <f>SUMPRODUCT((데이터!$A$2:$A$200=7)*(데이터!$B$2:$B$200=5)*데이터!$E$2:$E$200)</f>
        <v/>
      </c>
      <c r="F44" s="12">
        <f>SUMPRODUCT((데이터!$A$2:$A$200=7)*(데이터!$B$2:$B$200=5)*데이터!$F$2:$F$200)</f>
        <v/>
      </c>
      <c r="G44" s="12">
        <f>IF(E44=0,"",E44+F44)</f>
        <v/>
      </c>
      <c r="H44" s="12">
        <f>IF(E44=0,"",E44*0.15)</f>
        <v/>
      </c>
      <c r="I44" s="12">
        <f>IF(E44=0,"",F44*0.13)</f>
        <v/>
      </c>
      <c r="J44" s="12">
        <f>IF(E44=0,"",H44+I44)</f>
        <v/>
      </c>
      <c r="K44" s="12">
        <f>IF(E44=0,"",J44*0.1)</f>
        <v/>
      </c>
      <c r="L44" s="12">
        <f>IF(AND(E44&lt;&gt;0,B44=4),3000000,0)</f>
        <v/>
      </c>
      <c r="M44" s="12">
        <f>IF(L44=0,0,L44*0.1)</f>
        <v/>
      </c>
      <c r="N44" s="12">
        <f>IF(AND(E44&lt;&gt;0,B44=4),120900,0)</f>
        <v/>
      </c>
      <c r="O44" s="12">
        <f>(SUMPRODUCT((데이터!$A$2:$A$200=7)*(데이터!$B$2:$B$200=5)*데이터!$G$2:$G$200)+SUMPRODUCT((데이터!$A$2:$A$200=7)*(데이터!$B$2:$B$200=5)*데이터!$H$2:$H$200)+SUMPRODUCT((데이터!$A$2:$A$200=7)*(데이터!$B$2:$B$200=5)*데이터!$I$2:$I$200))*0.95</f>
        <v/>
      </c>
      <c r="P44" s="12">
        <f>SUMPRODUCT((데이터!$A$2:$A$200=7)*(데이터!$B$2:$B$200=5)*데이터!$J$2:$J$200)+SUMPRODUCT((데이터!$A$2:$A$200=7)*(데이터!$B$2:$B$200=5)*데이터!$K$2:$K$200)*0.05+SUMPRODUCT((데이터!$A$2:$A$200=7)*(데이터!$B$2:$B$200=5)*데이터!$L$2:$L$200)</f>
        <v/>
      </c>
      <c r="Q44" s="12">
        <f>IF(E44=0,"",J44+K44+L44+M44+N44+O44+P44)</f>
        <v/>
      </c>
      <c r="R44" s="12">
        <f>IF(E44=0,"",E44-Q44)</f>
        <v/>
      </c>
      <c r="S44" s="12">
        <f>IF(E44=0,"",F44-I44-I44*0.1)</f>
        <v/>
      </c>
      <c r="T44" s="24">
        <f>IFERROR(INDEX(데이터!$M$2:$M$200,MATCH(1,(데이터!$A$2:$A$200=7)*(데이터!$B$2:$B$200=5),0)),"")</f>
        <v/>
      </c>
    </row>
    <row r="45">
      <c r="A45" s="25" t="inlineStr">
        <is>
          <t>7월</t>
        </is>
      </c>
      <c r="B45" s="25" t="inlineStr">
        <is>
          <t>소계</t>
        </is>
      </c>
      <c r="C45" s="26" t="n"/>
      <c r="D45" s="26" t="n"/>
      <c r="E45" s="27">
        <f>SUM(E40:E44)</f>
        <v/>
      </c>
      <c r="F45" s="27">
        <f>SUM(F40:F44)</f>
        <v/>
      </c>
      <c r="G45" s="27">
        <f>SUM(G40:G44)</f>
        <v/>
      </c>
      <c r="H45" s="27">
        <f>SUM(H40:H44)</f>
        <v/>
      </c>
      <c r="I45" s="27">
        <f>SUM(I40:I44)</f>
        <v/>
      </c>
      <c r="J45" s="27">
        <f>SUM(J40:J44)</f>
        <v/>
      </c>
      <c r="K45" s="27">
        <f>SUM(K40:K44)</f>
        <v/>
      </c>
      <c r="L45" s="27">
        <f>SUM(L40:L44)</f>
        <v/>
      </c>
      <c r="M45" s="27">
        <f>SUM(M40:M44)</f>
        <v/>
      </c>
      <c r="N45" s="27">
        <f>SUM(N40:N44)</f>
        <v/>
      </c>
      <c r="O45" s="27">
        <f>SUM(O40:O44)</f>
        <v/>
      </c>
      <c r="P45" s="27">
        <f>SUM(P40:P44)</f>
        <v/>
      </c>
      <c r="Q45" s="27">
        <f>SUM(Q40:Q44)</f>
        <v/>
      </c>
      <c r="R45" s="27">
        <f>SUM(R40:R44)</f>
        <v/>
      </c>
      <c r="S45" s="27">
        <f>SUM(S40:S44)</f>
        <v/>
      </c>
      <c r="T45" s="26" t="n"/>
    </row>
    <row r="46">
      <c r="A46" s="23" t="n">
        <v>8</v>
      </c>
      <c r="B46" s="23" t="n">
        <v>1</v>
      </c>
      <c r="C46" s="24">
        <f>IFERROR(SUMPRODUCT((데이터!$A$2:$A$200=8)*(데이터!$B$2:$B$200=1)*데이터!$C$2:$C$200),"")</f>
        <v/>
      </c>
      <c r="D46" s="24">
        <f>IFERROR(SUMPRODUCT((데이터!$A$2:$A$200=8)*(데이터!$B$2:$B$200=1)*데이터!$D$2:$D$200),"")</f>
        <v/>
      </c>
      <c r="E46" s="12">
        <f>SUMPRODUCT((데이터!$A$2:$A$200=8)*(데이터!$B$2:$B$200=1)*데이터!$E$2:$E$200)</f>
        <v/>
      </c>
      <c r="F46" s="12">
        <f>SUMPRODUCT((데이터!$A$2:$A$200=8)*(데이터!$B$2:$B$200=1)*데이터!$F$2:$F$200)</f>
        <v/>
      </c>
      <c r="G46" s="12">
        <f>IF(E46=0,"",E46+F46)</f>
        <v/>
      </c>
      <c r="H46" s="12">
        <f>IF(E46=0,"",E46*0.15)</f>
        <v/>
      </c>
      <c r="I46" s="12">
        <f>IF(E46=0,"",F46*0.13)</f>
        <v/>
      </c>
      <c r="J46" s="12">
        <f>IF(E46=0,"",H46+I46)</f>
        <v/>
      </c>
      <c r="K46" s="12">
        <f>IF(E46=0,"",J46*0.1)</f>
        <v/>
      </c>
      <c r="L46" s="12">
        <f>IF(AND(E46&lt;&gt;0,B46=4),3000000,0)</f>
        <v/>
      </c>
      <c r="M46" s="12">
        <f>IF(L46=0,0,L46*0.1)</f>
        <v/>
      </c>
      <c r="N46" s="12">
        <f>IF(AND(E46&lt;&gt;0,B46=4),120900,0)</f>
        <v/>
      </c>
      <c r="O46" s="12">
        <f>(SUMPRODUCT((데이터!$A$2:$A$200=8)*(데이터!$B$2:$B$200=1)*데이터!$G$2:$G$200)+SUMPRODUCT((데이터!$A$2:$A$200=8)*(데이터!$B$2:$B$200=1)*데이터!$H$2:$H$200)+SUMPRODUCT((데이터!$A$2:$A$200=8)*(데이터!$B$2:$B$200=1)*데이터!$I$2:$I$200))*0.95</f>
        <v/>
      </c>
      <c r="P46" s="12">
        <f>SUMPRODUCT((데이터!$A$2:$A$200=8)*(데이터!$B$2:$B$200=1)*데이터!$J$2:$J$200)+SUMPRODUCT((데이터!$A$2:$A$200=8)*(데이터!$B$2:$B$200=1)*데이터!$K$2:$K$200)*0.05+SUMPRODUCT((데이터!$A$2:$A$200=8)*(데이터!$B$2:$B$200=1)*데이터!$L$2:$L$200)</f>
        <v/>
      </c>
      <c r="Q46" s="12">
        <f>IF(E46=0,"",J46+K46+L46+M46+N46+O46+P46)</f>
        <v/>
      </c>
      <c r="R46" s="12">
        <f>IF(E46=0,"",E46-Q46)</f>
        <v/>
      </c>
      <c r="S46" s="12">
        <f>IF(E46=0,"",F46-I46-I46*0.1)</f>
        <v/>
      </c>
      <c r="T46" s="24">
        <f>IFERROR(INDEX(데이터!$M$2:$M$200,MATCH(1,(데이터!$A$2:$A$200=8)*(데이터!$B$2:$B$200=1),0)),"")</f>
        <v/>
      </c>
    </row>
    <row r="47">
      <c r="A47" s="23" t="n">
        <v>8</v>
      </c>
      <c r="B47" s="23" t="n">
        <v>2</v>
      </c>
      <c r="C47" s="24">
        <f>IFERROR(SUMPRODUCT((데이터!$A$2:$A$200=8)*(데이터!$B$2:$B$200=2)*데이터!$C$2:$C$200),"")</f>
        <v/>
      </c>
      <c r="D47" s="24">
        <f>IFERROR(SUMPRODUCT((데이터!$A$2:$A$200=8)*(데이터!$B$2:$B$200=2)*데이터!$D$2:$D$200),"")</f>
        <v/>
      </c>
      <c r="E47" s="12">
        <f>SUMPRODUCT((데이터!$A$2:$A$200=8)*(데이터!$B$2:$B$200=2)*데이터!$E$2:$E$200)</f>
        <v/>
      </c>
      <c r="F47" s="12">
        <f>SUMPRODUCT((데이터!$A$2:$A$200=8)*(데이터!$B$2:$B$200=2)*데이터!$F$2:$F$200)</f>
        <v/>
      </c>
      <c r="G47" s="12">
        <f>IF(E47=0,"",E47+F47)</f>
        <v/>
      </c>
      <c r="H47" s="12">
        <f>IF(E47=0,"",E47*0.15)</f>
        <v/>
      </c>
      <c r="I47" s="12">
        <f>IF(E47=0,"",F47*0.13)</f>
        <v/>
      </c>
      <c r="J47" s="12">
        <f>IF(E47=0,"",H47+I47)</f>
        <v/>
      </c>
      <c r="K47" s="12">
        <f>IF(E47=0,"",J47*0.1)</f>
        <v/>
      </c>
      <c r="L47" s="12">
        <f>IF(AND(E47&lt;&gt;0,B47=4),3000000,0)</f>
        <v/>
      </c>
      <c r="M47" s="12">
        <f>IF(L47=0,0,L47*0.1)</f>
        <v/>
      </c>
      <c r="N47" s="12">
        <f>IF(AND(E47&lt;&gt;0,B47=4),120900,0)</f>
        <v/>
      </c>
      <c r="O47" s="12">
        <f>(SUMPRODUCT((데이터!$A$2:$A$200=8)*(데이터!$B$2:$B$200=2)*데이터!$G$2:$G$200)+SUMPRODUCT((데이터!$A$2:$A$200=8)*(데이터!$B$2:$B$200=2)*데이터!$H$2:$H$200)+SUMPRODUCT((데이터!$A$2:$A$200=8)*(데이터!$B$2:$B$200=2)*데이터!$I$2:$I$200))*0.95</f>
        <v/>
      </c>
      <c r="P47" s="12">
        <f>SUMPRODUCT((데이터!$A$2:$A$200=8)*(데이터!$B$2:$B$200=2)*데이터!$J$2:$J$200)+SUMPRODUCT((데이터!$A$2:$A$200=8)*(데이터!$B$2:$B$200=2)*데이터!$K$2:$K$200)*0.05+SUMPRODUCT((데이터!$A$2:$A$200=8)*(데이터!$B$2:$B$200=2)*데이터!$L$2:$L$200)</f>
        <v/>
      </c>
      <c r="Q47" s="12">
        <f>IF(E47=0,"",J47+K47+L47+M47+N47+O47+P47)</f>
        <v/>
      </c>
      <c r="R47" s="12">
        <f>IF(E47=0,"",E47-Q47)</f>
        <v/>
      </c>
      <c r="S47" s="12">
        <f>IF(E47=0,"",F47-I47-I47*0.1)</f>
        <v/>
      </c>
      <c r="T47" s="24">
        <f>IFERROR(INDEX(데이터!$M$2:$M$200,MATCH(1,(데이터!$A$2:$A$200=8)*(데이터!$B$2:$B$200=2),0)),"")</f>
        <v/>
      </c>
    </row>
    <row r="48">
      <c r="A48" s="23" t="n">
        <v>8</v>
      </c>
      <c r="B48" s="23" t="n">
        <v>3</v>
      </c>
      <c r="C48" s="24">
        <f>IFERROR(SUMPRODUCT((데이터!$A$2:$A$200=8)*(데이터!$B$2:$B$200=3)*데이터!$C$2:$C$200),"")</f>
        <v/>
      </c>
      <c r="D48" s="24">
        <f>IFERROR(SUMPRODUCT((데이터!$A$2:$A$200=8)*(데이터!$B$2:$B$200=3)*데이터!$D$2:$D$200),"")</f>
        <v/>
      </c>
      <c r="E48" s="12">
        <f>SUMPRODUCT((데이터!$A$2:$A$200=8)*(데이터!$B$2:$B$200=3)*데이터!$E$2:$E$200)</f>
        <v/>
      </c>
      <c r="F48" s="12">
        <f>SUMPRODUCT((데이터!$A$2:$A$200=8)*(데이터!$B$2:$B$200=3)*데이터!$F$2:$F$200)</f>
        <v/>
      </c>
      <c r="G48" s="12">
        <f>IF(E48=0,"",E48+F48)</f>
        <v/>
      </c>
      <c r="H48" s="12">
        <f>IF(E48=0,"",E48*0.15)</f>
        <v/>
      </c>
      <c r="I48" s="12">
        <f>IF(E48=0,"",F48*0.13)</f>
        <v/>
      </c>
      <c r="J48" s="12">
        <f>IF(E48=0,"",H48+I48)</f>
        <v/>
      </c>
      <c r="K48" s="12">
        <f>IF(E48=0,"",J48*0.1)</f>
        <v/>
      </c>
      <c r="L48" s="12">
        <f>IF(AND(E48&lt;&gt;0,B48=4),3000000,0)</f>
        <v/>
      </c>
      <c r="M48" s="12">
        <f>IF(L48=0,0,L48*0.1)</f>
        <v/>
      </c>
      <c r="N48" s="12">
        <f>IF(AND(E48&lt;&gt;0,B48=4),120900,0)</f>
        <v/>
      </c>
      <c r="O48" s="12">
        <f>(SUMPRODUCT((데이터!$A$2:$A$200=8)*(데이터!$B$2:$B$200=3)*데이터!$G$2:$G$200)+SUMPRODUCT((데이터!$A$2:$A$200=8)*(데이터!$B$2:$B$200=3)*데이터!$H$2:$H$200)+SUMPRODUCT((데이터!$A$2:$A$200=8)*(데이터!$B$2:$B$200=3)*데이터!$I$2:$I$200))*0.95</f>
        <v/>
      </c>
      <c r="P48" s="12">
        <f>SUMPRODUCT((데이터!$A$2:$A$200=8)*(데이터!$B$2:$B$200=3)*데이터!$J$2:$J$200)+SUMPRODUCT((데이터!$A$2:$A$200=8)*(데이터!$B$2:$B$200=3)*데이터!$K$2:$K$200)*0.05+SUMPRODUCT((데이터!$A$2:$A$200=8)*(데이터!$B$2:$B$200=3)*데이터!$L$2:$L$200)</f>
        <v/>
      </c>
      <c r="Q48" s="12">
        <f>IF(E48=0,"",J48+K48+L48+M48+N48+O48+P48)</f>
        <v/>
      </c>
      <c r="R48" s="12">
        <f>IF(E48=0,"",E48-Q48)</f>
        <v/>
      </c>
      <c r="S48" s="12">
        <f>IF(E48=0,"",F48-I48-I48*0.1)</f>
        <v/>
      </c>
      <c r="T48" s="24">
        <f>IFERROR(INDEX(데이터!$M$2:$M$200,MATCH(1,(데이터!$A$2:$A$200=8)*(데이터!$B$2:$B$200=3),0)),"")</f>
        <v/>
      </c>
    </row>
    <row r="49">
      <c r="A49" s="23" t="n">
        <v>8</v>
      </c>
      <c r="B49" s="23" t="n">
        <v>4</v>
      </c>
      <c r="C49" s="24">
        <f>IFERROR(SUMPRODUCT((데이터!$A$2:$A$200=8)*(데이터!$B$2:$B$200=4)*데이터!$C$2:$C$200),"")</f>
        <v/>
      </c>
      <c r="D49" s="24">
        <f>IFERROR(SUMPRODUCT((데이터!$A$2:$A$200=8)*(데이터!$B$2:$B$200=4)*데이터!$D$2:$D$200),"")</f>
        <v/>
      </c>
      <c r="E49" s="12">
        <f>SUMPRODUCT((데이터!$A$2:$A$200=8)*(데이터!$B$2:$B$200=4)*데이터!$E$2:$E$200)</f>
        <v/>
      </c>
      <c r="F49" s="12">
        <f>SUMPRODUCT((데이터!$A$2:$A$200=8)*(데이터!$B$2:$B$200=4)*데이터!$F$2:$F$200)</f>
        <v/>
      </c>
      <c r="G49" s="12">
        <f>IF(E49=0,"",E49+F49)</f>
        <v/>
      </c>
      <c r="H49" s="12">
        <f>IF(E49=0,"",E49*0.15)</f>
        <v/>
      </c>
      <c r="I49" s="12">
        <f>IF(E49=0,"",F49*0.13)</f>
        <v/>
      </c>
      <c r="J49" s="12">
        <f>IF(E49=0,"",H49+I49)</f>
        <v/>
      </c>
      <c r="K49" s="12">
        <f>IF(E49=0,"",J49*0.1)</f>
        <v/>
      </c>
      <c r="L49" s="12">
        <f>IF(AND(E49&lt;&gt;0,B49=4),3000000,0)</f>
        <v/>
      </c>
      <c r="M49" s="12">
        <f>IF(L49=0,0,L49*0.1)</f>
        <v/>
      </c>
      <c r="N49" s="12">
        <f>IF(AND(E49&lt;&gt;0,B49=4),120900,0)</f>
        <v/>
      </c>
      <c r="O49" s="12">
        <f>(SUMPRODUCT((데이터!$A$2:$A$200=8)*(데이터!$B$2:$B$200=4)*데이터!$G$2:$G$200)+SUMPRODUCT((데이터!$A$2:$A$200=8)*(데이터!$B$2:$B$200=4)*데이터!$H$2:$H$200)+SUMPRODUCT((데이터!$A$2:$A$200=8)*(데이터!$B$2:$B$200=4)*데이터!$I$2:$I$200))*0.95</f>
        <v/>
      </c>
      <c r="P49" s="12">
        <f>SUMPRODUCT((데이터!$A$2:$A$200=8)*(데이터!$B$2:$B$200=4)*데이터!$J$2:$J$200)+SUMPRODUCT((데이터!$A$2:$A$200=8)*(데이터!$B$2:$B$200=4)*데이터!$K$2:$K$200)*0.05+SUMPRODUCT((데이터!$A$2:$A$200=8)*(데이터!$B$2:$B$200=4)*데이터!$L$2:$L$200)</f>
        <v/>
      </c>
      <c r="Q49" s="12">
        <f>IF(E49=0,"",J49+K49+L49+M49+N49+O49+P49)</f>
        <v/>
      </c>
      <c r="R49" s="12">
        <f>IF(E49=0,"",E49-Q49)</f>
        <v/>
      </c>
      <c r="S49" s="12">
        <f>IF(E49=0,"",F49-I49-I49*0.1)</f>
        <v/>
      </c>
      <c r="T49" s="24">
        <f>IFERROR(INDEX(데이터!$M$2:$M$200,MATCH(1,(데이터!$A$2:$A$200=8)*(데이터!$B$2:$B$200=4),0)),"")</f>
        <v/>
      </c>
    </row>
    <row r="50">
      <c r="A50" s="23" t="n">
        <v>8</v>
      </c>
      <c r="B50" s="23" t="n">
        <v>5</v>
      </c>
      <c r="C50" s="24">
        <f>IFERROR(SUMPRODUCT((데이터!$A$2:$A$200=8)*(데이터!$B$2:$B$200=5)*데이터!$C$2:$C$200),"")</f>
        <v/>
      </c>
      <c r="D50" s="24">
        <f>IFERROR(SUMPRODUCT((데이터!$A$2:$A$200=8)*(데이터!$B$2:$B$200=5)*데이터!$D$2:$D$200),"")</f>
        <v/>
      </c>
      <c r="E50" s="12">
        <f>SUMPRODUCT((데이터!$A$2:$A$200=8)*(데이터!$B$2:$B$200=5)*데이터!$E$2:$E$200)</f>
        <v/>
      </c>
      <c r="F50" s="12">
        <f>SUMPRODUCT((데이터!$A$2:$A$200=8)*(데이터!$B$2:$B$200=5)*데이터!$F$2:$F$200)</f>
        <v/>
      </c>
      <c r="G50" s="12">
        <f>IF(E50=0,"",E50+F50)</f>
        <v/>
      </c>
      <c r="H50" s="12">
        <f>IF(E50=0,"",E50*0.15)</f>
        <v/>
      </c>
      <c r="I50" s="12">
        <f>IF(E50=0,"",F50*0.13)</f>
        <v/>
      </c>
      <c r="J50" s="12">
        <f>IF(E50=0,"",H50+I50)</f>
        <v/>
      </c>
      <c r="K50" s="12">
        <f>IF(E50=0,"",J50*0.1)</f>
        <v/>
      </c>
      <c r="L50" s="12">
        <f>IF(AND(E50&lt;&gt;0,B50=4),3000000,0)</f>
        <v/>
      </c>
      <c r="M50" s="12">
        <f>IF(L50=0,0,L50*0.1)</f>
        <v/>
      </c>
      <c r="N50" s="12">
        <f>IF(AND(E50&lt;&gt;0,B50=4),120900,0)</f>
        <v/>
      </c>
      <c r="O50" s="12">
        <f>(SUMPRODUCT((데이터!$A$2:$A$200=8)*(데이터!$B$2:$B$200=5)*데이터!$G$2:$G$200)+SUMPRODUCT((데이터!$A$2:$A$200=8)*(데이터!$B$2:$B$200=5)*데이터!$H$2:$H$200)+SUMPRODUCT((데이터!$A$2:$A$200=8)*(데이터!$B$2:$B$200=5)*데이터!$I$2:$I$200))*0.95</f>
        <v/>
      </c>
      <c r="P50" s="12">
        <f>SUMPRODUCT((데이터!$A$2:$A$200=8)*(데이터!$B$2:$B$200=5)*데이터!$J$2:$J$200)+SUMPRODUCT((데이터!$A$2:$A$200=8)*(데이터!$B$2:$B$200=5)*데이터!$K$2:$K$200)*0.05+SUMPRODUCT((데이터!$A$2:$A$200=8)*(데이터!$B$2:$B$200=5)*데이터!$L$2:$L$200)</f>
        <v/>
      </c>
      <c r="Q50" s="12">
        <f>IF(E50=0,"",J50+K50+L50+M50+N50+O50+P50)</f>
        <v/>
      </c>
      <c r="R50" s="12">
        <f>IF(E50=0,"",E50-Q50)</f>
        <v/>
      </c>
      <c r="S50" s="12">
        <f>IF(E50=0,"",F50-I50-I50*0.1)</f>
        <v/>
      </c>
      <c r="T50" s="24">
        <f>IFERROR(INDEX(데이터!$M$2:$M$200,MATCH(1,(데이터!$A$2:$A$200=8)*(데이터!$B$2:$B$200=5),0)),"")</f>
        <v/>
      </c>
    </row>
    <row r="51">
      <c r="A51" s="25" t="inlineStr">
        <is>
          <t>8월</t>
        </is>
      </c>
      <c r="B51" s="25" t="inlineStr">
        <is>
          <t>소계</t>
        </is>
      </c>
      <c r="C51" s="26" t="n"/>
      <c r="D51" s="26" t="n"/>
      <c r="E51" s="27">
        <f>SUM(E46:E50)</f>
        <v/>
      </c>
      <c r="F51" s="27">
        <f>SUM(F46:F50)</f>
        <v/>
      </c>
      <c r="G51" s="27">
        <f>SUM(G46:G50)</f>
        <v/>
      </c>
      <c r="H51" s="27">
        <f>SUM(H46:H50)</f>
        <v/>
      </c>
      <c r="I51" s="27">
        <f>SUM(I46:I50)</f>
        <v/>
      </c>
      <c r="J51" s="27">
        <f>SUM(J46:J50)</f>
        <v/>
      </c>
      <c r="K51" s="27">
        <f>SUM(K46:K50)</f>
        <v/>
      </c>
      <c r="L51" s="27">
        <f>SUM(L46:L50)</f>
        <v/>
      </c>
      <c r="M51" s="27">
        <f>SUM(M46:M50)</f>
        <v/>
      </c>
      <c r="N51" s="27">
        <f>SUM(N46:N50)</f>
        <v/>
      </c>
      <c r="O51" s="27">
        <f>SUM(O46:O50)</f>
        <v/>
      </c>
      <c r="P51" s="27">
        <f>SUM(P46:P50)</f>
        <v/>
      </c>
      <c r="Q51" s="27">
        <f>SUM(Q46:Q50)</f>
        <v/>
      </c>
      <c r="R51" s="27">
        <f>SUM(R46:R50)</f>
        <v/>
      </c>
      <c r="S51" s="27">
        <f>SUM(S46:S50)</f>
        <v/>
      </c>
      <c r="T51" s="26" t="n"/>
    </row>
    <row r="52">
      <c r="A52" s="23" t="n">
        <v>9</v>
      </c>
      <c r="B52" s="23" t="n">
        <v>1</v>
      </c>
      <c r="C52" s="24">
        <f>IFERROR(SUMPRODUCT((데이터!$A$2:$A$200=9)*(데이터!$B$2:$B$200=1)*데이터!$C$2:$C$200),"")</f>
        <v/>
      </c>
      <c r="D52" s="24">
        <f>IFERROR(SUMPRODUCT((데이터!$A$2:$A$200=9)*(데이터!$B$2:$B$200=1)*데이터!$D$2:$D$200),"")</f>
        <v/>
      </c>
      <c r="E52" s="12">
        <f>SUMPRODUCT((데이터!$A$2:$A$200=9)*(데이터!$B$2:$B$200=1)*데이터!$E$2:$E$200)</f>
        <v/>
      </c>
      <c r="F52" s="12">
        <f>SUMPRODUCT((데이터!$A$2:$A$200=9)*(데이터!$B$2:$B$200=1)*데이터!$F$2:$F$200)</f>
        <v/>
      </c>
      <c r="G52" s="12">
        <f>IF(E52=0,"",E52+F52)</f>
        <v/>
      </c>
      <c r="H52" s="12">
        <f>IF(E52=0,"",E52*0.15)</f>
        <v/>
      </c>
      <c r="I52" s="12">
        <f>IF(E52=0,"",F52*0.13)</f>
        <v/>
      </c>
      <c r="J52" s="12">
        <f>IF(E52=0,"",H52+I52)</f>
        <v/>
      </c>
      <c r="K52" s="12">
        <f>IF(E52=0,"",J52*0.1)</f>
        <v/>
      </c>
      <c r="L52" s="12">
        <f>IF(AND(E52&lt;&gt;0,B52=4),3000000,0)</f>
        <v/>
      </c>
      <c r="M52" s="12">
        <f>IF(L52=0,0,L52*0.1)</f>
        <v/>
      </c>
      <c r="N52" s="12">
        <f>IF(AND(E52&lt;&gt;0,B52=4),120900,0)</f>
        <v/>
      </c>
      <c r="O52" s="12">
        <f>(SUMPRODUCT((데이터!$A$2:$A$200=9)*(데이터!$B$2:$B$200=1)*데이터!$G$2:$G$200)+SUMPRODUCT((데이터!$A$2:$A$200=9)*(데이터!$B$2:$B$200=1)*데이터!$H$2:$H$200)+SUMPRODUCT((데이터!$A$2:$A$200=9)*(데이터!$B$2:$B$200=1)*데이터!$I$2:$I$200))*0.95</f>
        <v/>
      </c>
      <c r="P52" s="12">
        <f>SUMPRODUCT((데이터!$A$2:$A$200=9)*(데이터!$B$2:$B$200=1)*데이터!$J$2:$J$200)+SUMPRODUCT((데이터!$A$2:$A$200=9)*(데이터!$B$2:$B$200=1)*데이터!$K$2:$K$200)*0.05+SUMPRODUCT((데이터!$A$2:$A$200=9)*(데이터!$B$2:$B$200=1)*데이터!$L$2:$L$200)</f>
        <v/>
      </c>
      <c r="Q52" s="12">
        <f>IF(E52=0,"",J52+K52+L52+M52+N52+O52+P52)</f>
        <v/>
      </c>
      <c r="R52" s="12">
        <f>IF(E52=0,"",E52-Q52)</f>
        <v/>
      </c>
      <c r="S52" s="12">
        <f>IF(E52=0,"",F52-I52-I52*0.1)</f>
        <v/>
      </c>
      <c r="T52" s="24">
        <f>IFERROR(INDEX(데이터!$M$2:$M$200,MATCH(1,(데이터!$A$2:$A$200=9)*(데이터!$B$2:$B$200=1),0)),"")</f>
        <v/>
      </c>
    </row>
    <row r="53">
      <c r="A53" s="23" t="n">
        <v>9</v>
      </c>
      <c r="B53" s="23" t="n">
        <v>2</v>
      </c>
      <c r="C53" s="24">
        <f>IFERROR(SUMPRODUCT((데이터!$A$2:$A$200=9)*(데이터!$B$2:$B$200=2)*데이터!$C$2:$C$200),"")</f>
        <v/>
      </c>
      <c r="D53" s="24">
        <f>IFERROR(SUMPRODUCT((데이터!$A$2:$A$200=9)*(데이터!$B$2:$B$200=2)*데이터!$D$2:$D$200),"")</f>
        <v/>
      </c>
      <c r="E53" s="12">
        <f>SUMPRODUCT((데이터!$A$2:$A$200=9)*(데이터!$B$2:$B$200=2)*데이터!$E$2:$E$200)</f>
        <v/>
      </c>
      <c r="F53" s="12">
        <f>SUMPRODUCT((데이터!$A$2:$A$200=9)*(데이터!$B$2:$B$200=2)*데이터!$F$2:$F$200)</f>
        <v/>
      </c>
      <c r="G53" s="12">
        <f>IF(E53=0,"",E53+F53)</f>
        <v/>
      </c>
      <c r="H53" s="12">
        <f>IF(E53=0,"",E53*0.15)</f>
        <v/>
      </c>
      <c r="I53" s="12">
        <f>IF(E53=0,"",F53*0.13)</f>
        <v/>
      </c>
      <c r="J53" s="12">
        <f>IF(E53=0,"",H53+I53)</f>
        <v/>
      </c>
      <c r="K53" s="12">
        <f>IF(E53=0,"",J53*0.1)</f>
        <v/>
      </c>
      <c r="L53" s="12">
        <f>IF(AND(E53&lt;&gt;0,B53=4),3000000,0)</f>
        <v/>
      </c>
      <c r="M53" s="12">
        <f>IF(L53=0,0,L53*0.1)</f>
        <v/>
      </c>
      <c r="N53" s="12">
        <f>IF(AND(E53&lt;&gt;0,B53=4),120900,0)</f>
        <v/>
      </c>
      <c r="O53" s="12">
        <f>(SUMPRODUCT((데이터!$A$2:$A$200=9)*(데이터!$B$2:$B$200=2)*데이터!$G$2:$G$200)+SUMPRODUCT((데이터!$A$2:$A$200=9)*(데이터!$B$2:$B$200=2)*데이터!$H$2:$H$200)+SUMPRODUCT((데이터!$A$2:$A$200=9)*(데이터!$B$2:$B$200=2)*데이터!$I$2:$I$200))*0.95</f>
        <v/>
      </c>
      <c r="P53" s="12">
        <f>SUMPRODUCT((데이터!$A$2:$A$200=9)*(데이터!$B$2:$B$200=2)*데이터!$J$2:$J$200)+SUMPRODUCT((데이터!$A$2:$A$200=9)*(데이터!$B$2:$B$200=2)*데이터!$K$2:$K$200)*0.05+SUMPRODUCT((데이터!$A$2:$A$200=9)*(데이터!$B$2:$B$200=2)*데이터!$L$2:$L$200)</f>
        <v/>
      </c>
      <c r="Q53" s="12">
        <f>IF(E53=0,"",J53+K53+L53+M53+N53+O53+P53)</f>
        <v/>
      </c>
      <c r="R53" s="12">
        <f>IF(E53=0,"",E53-Q53)</f>
        <v/>
      </c>
      <c r="S53" s="12">
        <f>IF(E53=0,"",F53-I53-I53*0.1)</f>
        <v/>
      </c>
      <c r="T53" s="24">
        <f>IFERROR(INDEX(데이터!$M$2:$M$200,MATCH(1,(데이터!$A$2:$A$200=9)*(데이터!$B$2:$B$200=2),0)),"")</f>
        <v/>
      </c>
    </row>
    <row r="54">
      <c r="A54" s="23" t="n">
        <v>9</v>
      </c>
      <c r="B54" s="23" t="n">
        <v>3</v>
      </c>
      <c r="C54" s="24">
        <f>IFERROR(SUMPRODUCT((데이터!$A$2:$A$200=9)*(데이터!$B$2:$B$200=3)*데이터!$C$2:$C$200),"")</f>
        <v/>
      </c>
      <c r="D54" s="24">
        <f>IFERROR(SUMPRODUCT((데이터!$A$2:$A$200=9)*(데이터!$B$2:$B$200=3)*데이터!$D$2:$D$200),"")</f>
        <v/>
      </c>
      <c r="E54" s="12">
        <f>SUMPRODUCT((데이터!$A$2:$A$200=9)*(데이터!$B$2:$B$200=3)*데이터!$E$2:$E$200)</f>
        <v/>
      </c>
      <c r="F54" s="12">
        <f>SUMPRODUCT((데이터!$A$2:$A$200=9)*(데이터!$B$2:$B$200=3)*데이터!$F$2:$F$200)</f>
        <v/>
      </c>
      <c r="G54" s="12">
        <f>IF(E54=0,"",E54+F54)</f>
        <v/>
      </c>
      <c r="H54" s="12">
        <f>IF(E54=0,"",E54*0.15)</f>
        <v/>
      </c>
      <c r="I54" s="12">
        <f>IF(E54=0,"",F54*0.13)</f>
        <v/>
      </c>
      <c r="J54" s="12">
        <f>IF(E54=0,"",H54+I54)</f>
        <v/>
      </c>
      <c r="K54" s="12">
        <f>IF(E54=0,"",J54*0.1)</f>
        <v/>
      </c>
      <c r="L54" s="12">
        <f>IF(AND(E54&lt;&gt;0,B54=4),3000000,0)</f>
        <v/>
      </c>
      <c r="M54" s="12">
        <f>IF(L54=0,0,L54*0.1)</f>
        <v/>
      </c>
      <c r="N54" s="12">
        <f>IF(AND(E54&lt;&gt;0,B54=4),120900,0)</f>
        <v/>
      </c>
      <c r="O54" s="12">
        <f>(SUMPRODUCT((데이터!$A$2:$A$200=9)*(데이터!$B$2:$B$200=3)*데이터!$G$2:$G$200)+SUMPRODUCT((데이터!$A$2:$A$200=9)*(데이터!$B$2:$B$200=3)*데이터!$H$2:$H$200)+SUMPRODUCT((데이터!$A$2:$A$200=9)*(데이터!$B$2:$B$200=3)*데이터!$I$2:$I$200))*0.95</f>
        <v/>
      </c>
      <c r="P54" s="12">
        <f>SUMPRODUCT((데이터!$A$2:$A$200=9)*(데이터!$B$2:$B$200=3)*데이터!$J$2:$J$200)+SUMPRODUCT((데이터!$A$2:$A$200=9)*(데이터!$B$2:$B$200=3)*데이터!$K$2:$K$200)*0.05+SUMPRODUCT((데이터!$A$2:$A$200=9)*(데이터!$B$2:$B$200=3)*데이터!$L$2:$L$200)</f>
        <v/>
      </c>
      <c r="Q54" s="12">
        <f>IF(E54=0,"",J54+K54+L54+M54+N54+O54+P54)</f>
        <v/>
      </c>
      <c r="R54" s="12">
        <f>IF(E54=0,"",E54-Q54)</f>
        <v/>
      </c>
      <c r="S54" s="12">
        <f>IF(E54=0,"",F54-I54-I54*0.1)</f>
        <v/>
      </c>
      <c r="T54" s="24">
        <f>IFERROR(INDEX(데이터!$M$2:$M$200,MATCH(1,(데이터!$A$2:$A$200=9)*(데이터!$B$2:$B$200=3),0)),"")</f>
        <v/>
      </c>
    </row>
    <row r="55">
      <c r="A55" s="23" t="n">
        <v>9</v>
      </c>
      <c r="B55" s="23" t="n">
        <v>4</v>
      </c>
      <c r="C55" s="24">
        <f>IFERROR(SUMPRODUCT((데이터!$A$2:$A$200=9)*(데이터!$B$2:$B$200=4)*데이터!$C$2:$C$200),"")</f>
        <v/>
      </c>
      <c r="D55" s="24">
        <f>IFERROR(SUMPRODUCT((데이터!$A$2:$A$200=9)*(데이터!$B$2:$B$200=4)*데이터!$D$2:$D$200),"")</f>
        <v/>
      </c>
      <c r="E55" s="12">
        <f>SUMPRODUCT((데이터!$A$2:$A$200=9)*(데이터!$B$2:$B$200=4)*데이터!$E$2:$E$200)</f>
        <v/>
      </c>
      <c r="F55" s="12">
        <f>SUMPRODUCT((데이터!$A$2:$A$200=9)*(데이터!$B$2:$B$200=4)*데이터!$F$2:$F$200)</f>
        <v/>
      </c>
      <c r="G55" s="12">
        <f>IF(E55=0,"",E55+F55)</f>
        <v/>
      </c>
      <c r="H55" s="12">
        <f>IF(E55=0,"",E55*0.15)</f>
        <v/>
      </c>
      <c r="I55" s="12">
        <f>IF(E55=0,"",F55*0.13)</f>
        <v/>
      </c>
      <c r="J55" s="12">
        <f>IF(E55=0,"",H55+I55)</f>
        <v/>
      </c>
      <c r="K55" s="12">
        <f>IF(E55=0,"",J55*0.1)</f>
        <v/>
      </c>
      <c r="L55" s="12">
        <f>IF(AND(E55&lt;&gt;0,B55=4),3000000,0)</f>
        <v/>
      </c>
      <c r="M55" s="12">
        <f>IF(L55=0,0,L55*0.1)</f>
        <v/>
      </c>
      <c r="N55" s="12">
        <f>IF(AND(E55&lt;&gt;0,B55=4),120900,0)</f>
        <v/>
      </c>
      <c r="O55" s="12">
        <f>(SUMPRODUCT((데이터!$A$2:$A$200=9)*(데이터!$B$2:$B$200=4)*데이터!$G$2:$G$200)+SUMPRODUCT((데이터!$A$2:$A$200=9)*(데이터!$B$2:$B$200=4)*데이터!$H$2:$H$200)+SUMPRODUCT((데이터!$A$2:$A$200=9)*(데이터!$B$2:$B$200=4)*데이터!$I$2:$I$200))*0.95</f>
        <v/>
      </c>
      <c r="P55" s="12">
        <f>SUMPRODUCT((데이터!$A$2:$A$200=9)*(데이터!$B$2:$B$200=4)*데이터!$J$2:$J$200)+SUMPRODUCT((데이터!$A$2:$A$200=9)*(데이터!$B$2:$B$200=4)*데이터!$K$2:$K$200)*0.05+SUMPRODUCT((데이터!$A$2:$A$200=9)*(데이터!$B$2:$B$200=4)*데이터!$L$2:$L$200)</f>
        <v/>
      </c>
      <c r="Q55" s="12">
        <f>IF(E55=0,"",J55+K55+L55+M55+N55+O55+P55)</f>
        <v/>
      </c>
      <c r="R55" s="12">
        <f>IF(E55=0,"",E55-Q55)</f>
        <v/>
      </c>
      <c r="S55" s="12">
        <f>IF(E55=0,"",F55-I55-I55*0.1)</f>
        <v/>
      </c>
      <c r="T55" s="24">
        <f>IFERROR(INDEX(데이터!$M$2:$M$200,MATCH(1,(데이터!$A$2:$A$200=9)*(데이터!$B$2:$B$200=4),0)),"")</f>
        <v/>
      </c>
    </row>
    <row r="56">
      <c r="A56" s="23" t="n">
        <v>9</v>
      </c>
      <c r="B56" s="23" t="n">
        <v>5</v>
      </c>
      <c r="C56" s="24">
        <f>IFERROR(SUMPRODUCT((데이터!$A$2:$A$200=9)*(데이터!$B$2:$B$200=5)*데이터!$C$2:$C$200),"")</f>
        <v/>
      </c>
      <c r="D56" s="24">
        <f>IFERROR(SUMPRODUCT((데이터!$A$2:$A$200=9)*(데이터!$B$2:$B$200=5)*데이터!$D$2:$D$200),"")</f>
        <v/>
      </c>
      <c r="E56" s="12">
        <f>SUMPRODUCT((데이터!$A$2:$A$200=9)*(데이터!$B$2:$B$200=5)*데이터!$E$2:$E$200)</f>
        <v/>
      </c>
      <c r="F56" s="12">
        <f>SUMPRODUCT((데이터!$A$2:$A$200=9)*(데이터!$B$2:$B$200=5)*데이터!$F$2:$F$200)</f>
        <v/>
      </c>
      <c r="G56" s="12">
        <f>IF(E56=0,"",E56+F56)</f>
        <v/>
      </c>
      <c r="H56" s="12">
        <f>IF(E56=0,"",E56*0.15)</f>
        <v/>
      </c>
      <c r="I56" s="12">
        <f>IF(E56=0,"",F56*0.13)</f>
        <v/>
      </c>
      <c r="J56" s="12">
        <f>IF(E56=0,"",H56+I56)</f>
        <v/>
      </c>
      <c r="K56" s="12">
        <f>IF(E56=0,"",J56*0.1)</f>
        <v/>
      </c>
      <c r="L56" s="12">
        <f>IF(AND(E56&lt;&gt;0,B56=4),3000000,0)</f>
        <v/>
      </c>
      <c r="M56" s="12">
        <f>IF(L56=0,0,L56*0.1)</f>
        <v/>
      </c>
      <c r="N56" s="12">
        <f>IF(AND(E56&lt;&gt;0,B56=4),120900,0)</f>
        <v/>
      </c>
      <c r="O56" s="12">
        <f>(SUMPRODUCT((데이터!$A$2:$A$200=9)*(데이터!$B$2:$B$200=5)*데이터!$G$2:$G$200)+SUMPRODUCT((데이터!$A$2:$A$200=9)*(데이터!$B$2:$B$200=5)*데이터!$H$2:$H$200)+SUMPRODUCT((데이터!$A$2:$A$200=9)*(데이터!$B$2:$B$200=5)*데이터!$I$2:$I$200))*0.95</f>
        <v/>
      </c>
      <c r="P56" s="12">
        <f>SUMPRODUCT((데이터!$A$2:$A$200=9)*(데이터!$B$2:$B$200=5)*데이터!$J$2:$J$200)+SUMPRODUCT((데이터!$A$2:$A$200=9)*(데이터!$B$2:$B$200=5)*데이터!$K$2:$K$200)*0.05+SUMPRODUCT((데이터!$A$2:$A$200=9)*(데이터!$B$2:$B$200=5)*데이터!$L$2:$L$200)</f>
        <v/>
      </c>
      <c r="Q56" s="12">
        <f>IF(E56=0,"",J56+K56+L56+M56+N56+O56+P56)</f>
        <v/>
      </c>
      <c r="R56" s="12">
        <f>IF(E56=0,"",E56-Q56)</f>
        <v/>
      </c>
      <c r="S56" s="12">
        <f>IF(E56=0,"",F56-I56-I56*0.1)</f>
        <v/>
      </c>
      <c r="T56" s="24">
        <f>IFERROR(INDEX(데이터!$M$2:$M$200,MATCH(1,(데이터!$A$2:$A$200=9)*(데이터!$B$2:$B$200=5),0)),"")</f>
        <v/>
      </c>
    </row>
    <row r="57">
      <c r="A57" s="25" t="inlineStr">
        <is>
          <t>9월</t>
        </is>
      </c>
      <c r="B57" s="25" t="inlineStr">
        <is>
          <t>소계</t>
        </is>
      </c>
      <c r="C57" s="26" t="n"/>
      <c r="D57" s="26" t="n"/>
      <c r="E57" s="27">
        <f>SUM(E52:E56)</f>
        <v/>
      </c>
      <c r="F57" s="27">
        <f>SUM(F52:F56)</f>
        <v/>
      </c>
      <c r="G57" s="27">
        <f>SUM(G52:G56)</f>
        <v/>
      </c>
      <c r="H57" s="27">
        <f>SUM(H52:H56)</f>
        <v/>
      </c>
      <c r="I57" s="27">
        <f>SUM(I52:I56)</f>
        <v/>
      </c>
      <c r="J57" s="27">
        <f>SUM(J52:J56)</f>
        <v/>
      </c>
      <c r="K57" s="27">
        <f>SUM(K52:K56)</f>
        <v/>
      </c>
      <c r="L57" s="27">
        <f>SUM(L52:L56)</f>
        <v/>
      </c>
      <c r="M57" s="27">
        <f>SUM(M52:M56)</f>
        <v/>
      </c>
      <c r="N57" s="27">
        <f>SUM(N52:N56)</f>
        <v/>
      </c>
      <c r="O57" s="27">
        <f>SUM(O52:O56)</f>
        <v/>
      </c>
      <c r="P57" s="27">
        <f>SUM(P52:P56)</f>
        <v/>
      </c>
      <c r="Q57" s="27">
        <f>SUM(Q52:Q56)</f>
        <v/>
      </c>
      <c r="R57" s="27">
        <f>SUM(R52:R56)</f>
        <v/>
      </c>
      <c r="S57" s="27">
        <f>SUM(S52:S56)</f>
        <v/>
      </c>
      <c r="T57" s="26" t="n"/>
    </row>
    <row r="58">
      <c r="A58" s="23" t="n">
        <v>10</v>
      </c>
      <c r="B58" s="23" t="n">
        <v>1</v>
      </c>
      <c r="C58" s="24">
        <f>IFERROR(SUMPRODUCT((데이터!$A$2:$A$200=10)*(데이터!$B$2:$B$200=1)*데이터!$C$2:$C$200),"")</f>
        <v/>
      </c>
      <c r="D58" s="24">
        <f>IFERROR(SUMPRODUCT((데이터!$A$2:$A$200=10)*(데이터!$B$2:$B$200=1)*데이터!$D$2:$D$200),"")</f>
        <v/>
      </c>
      <c r="E58" s="12">
        <f>SUMPRODUCT((데이터!$A$2:$A$200=10)*(데이터!$B$2:$B$200=1)*데이터!$E$2:$E$200)</f>
        <v/>
      </c>
      <c r="F58" s="12">
        <f>SUMPRODUCT((데이터!$A$2:$A$200=10)*(데이터!$B$2:$B$200=1)*데이터!$F$2:$F$200)</f>
        <v/>
      </c>
      <c r="G58" s="12">
        <f>IF(E58=0,"",E58+F58)</f>
        <v/>
      </c>
      <c r="H58" s="12">
        <f>IF(E58=0,"",E58*0.15)</f>
        <v/>
      </c>
      <c r="I58" s="12">
        <f>IF(E58=0,"",F58*0.13)</f>
        <v/>
      </c>
      <c r="J58" s="12">
        <f>IF(E58=0,"",H58+I58)</f>
        <v/>
      </c>
      <c r="K58" s="12">
        <f>IF(E58=0,"",J58*0.1)</f>
        <v/>
      </c>
      <c r="L58" s="12">
        <f>IF(AND(E58&lt;&gt;0,B58=4),3000000,0)</f>
        <v/>
      </c>
      <c r="M58" s="12">
        <f>IF(L58=0,0,L58*0.1)</f>
        <v/>
      </c>
      <c r="N58" s="12">
        <f>IF(AND(E58&lt;&gt;0,B58=4),120900,0)</f>
        <v/>
      </c>
      <c r="O58" s="12">
        <f>(SUMPRODUCT((데이터!$A$2:$A$200=10)*(데이터!$B$2:$B$200=1)*데이터!$G$2:$G$200)+SUMPRODUCT((데이터!$A$2:$A$200=10)*(데이터!$B$2:$B$200=1)*데이터!$H$2:$H$200)+SUMPRODUCT((데이터!$A$2:$A$200=10)*(데이터!$B$2:$B$200=1)*데이터!$I$2:$I$200))*0.95</f>
        <v/>
      </c>
      <c r="P58" s="12">
        <f>SUMPRODUCT((데이터!$A$2:$A$200=10)*(데이터!$B$2:$B$200=1)*데이터!$J$2:$J$200)+SUMPRODUCT((데이터!$A$2:$A$200=10)*(데이터!$B$2:$B$200=1)*데이터!$K$2:$K$200)*0.05+SUMPRODUCT((데이터!$A$2:$A$200=10)*(데이터!$B$2:$B$200=1)*데이터!$L$2:$L$200)</f>
        <v/>
      </c>
      <c r="Q58" s="12">
        <f>IF(E58=0,"",J58+K58+L58+M58+N58+O58+P58)</f>
        <v/>
      </c>
      <c r="R58" s="12">
        <f>IF(E58=0,"",E58-Q58)</f>
        <v/>
      </c>
      <c r="S58" s="12">
        <f>IF(E58=0,"",F58-I58-I58*0.1)</f>
        <v/>
      </c>
      <c r="T58" s="24">
        <f>IFERROR(INDEX(데이터!$M$2:$M$200,MATCH(1,(데이터!$A$2:$A$200=10)*(데이터!$B$2:$B$200=1),0)),"")</f>
        <v/>
      </c>
    </row>
    <row r="59">
      <c r="A59" s="23" t="n">
        <v>10</v>
      </c>
      <c r="B59" s="23" t="n">
        <v>2</v>
      </c>
      <c r="C59" s="24">
        <f>IFERROR(SUMPRODUCT((데이터!$A$2:$A$200=10)*(데이터!$B$2:$B$200=2)*데이터!$C$2:$C$200),"")</f>
        <v/>
      </c>
      <c r="D59" s="24">
        <f>IFERROR(SUMPRODUCT((데이터!$A$2:$A$200=10)*(데이터!$B$2:$B$200=2)*데이터!$D$2:$D$200),"")</f>
        <v/>
      </c>
      <c r="E59" s="12">
        <f>SUMPRODUCT((데이터!$A$2:$A$200=10)*(데이터!$B$2:$B$200=2)*데이터!$E$2:$E$200)</f>
        <v/>
      </c>
      <c r="F59" s="12">
        <f>SUMPRODUCT((데이터!$A$2:$A$200=10)*(데이터!$B$2:$B$200=2)*데이터!$F$2:$F$200)</f>
        <v/>
      </c>
      <c r="G59" s="12">
        <f>IF(E59=0,"",E59+F59)</f>
        <v/>
      </c>
      <c r="H59" s="12">
        <f>IF(E59=0,"",E59*0.15)</f>
        <v/>
      </c>
      <c r="I59" s="12">
        <f>IF(E59=0,"",F59*0.13)</f>
        <v/>
      </c>
      <c r="J59" s="12">
        <f>IF(E59=0,"",H59+I59)</f>
        <v/>
      </c>
      <c r="K59" s="12">
        <f>IF(E59=0,"",J59*0.1)</f>
        <v/>
      </c>
      <c r="L59" s="12">
        <f>IF(AND(E59&lt;&gt;0,B59=4),3000000,0)</f>
        <v/>
      </c>
      <c r="M59" s="12">
        <f>IF(L59=0,0,L59*0.1)</f>
        <v/>
      </c>
      <c r="N59" s="12">
        <f>IF(AND(E59&lt;&gt;0,B59=4),120900,0)</f>
        <v/>
      </c>
      <c r="O59" s="12">
        <f>(SUMPRODUCT((데이터!$A$2:$A$200=10)*(데이터!$B$2:$B$200=2)*데이터!$G$2:$G$200)+SUMPRODUCT((데이터!$A$2:$A$200=10)*(데이터!$B$2:$B$200=2)*데이터!$H$2:$H$200)+SUMPRODUCT((데이터!$A$2:$A$200=10)*(데이터!$B$2:$B$200=2)*데이터!$I$2:$I$200))*0.95</f>
        <v/>
      </c>
      <c r="P59" s="12">
        <f>SUMPRODUCT((데이터!$A$2:$A$200=10)*(데이터!$B$2:$B$200=2)*데이터!$J$2:$J$200)+SUMPRODUCT((데이터!$A$2:$A$200=10)*(데이터!$B$2:$B$200=2)*데이터!$K$2:$K$200)*0.05+SUMPRODUCT((데이터!$A$2:$A$200=10)*(데이터!$B$2:$B$200=2)*데이터!$L$2:$L$200)</f>
        <v/>
      </c>
      <c r="Q59" s="12">
        <f>IF(E59=0,"",J59+K59+L59+M59+N59+O59+P59)</f>
        <v/>
      </c>
      <c r="R59" s="12">
        <f>IF(E59=0,"",E59-Q59)</f>
        <v/>
      </c>
      <c r="S59" s="12">
        <f>IF(E59=0,"",F59-I59-I59*0.1)</f>
        <v/>
      </c>
      <c r="T59" s="24">
        <f>IFERROR(INDEX(데이터!$M$2:$M$200,MATCH(1,(데이터!$A$2:$A$200=10)*(데이터!$B$2:$B$200=2),0)),"")</f>
        <v/>
      </c>
    </row>
    <row r="60">
      <c r="A60" s="23" t="n">
        <v>10</v>
      </c>
      <c r="B60" s="23" t="n">
        <v>3</v>
      </c>
      <c r="C60" s="24">
        <f>IFERROR(SUMPRODUCT((데이터!$A$2:$A$200=10)*(데이터!$B$2:$B$200=3)*데이터!$C$2:$C$200),"")</f>
        <v/>
      </c>
      <c r="D60" s="24">
        <f>IFERROR(SUMPRODUCT((데이터!$A$2:$A$200=10)*(데이터!$B$2:$B$200=3)*데이터!$D$2:$D$200),"")</f>
        <v/>
      </c>
      <c r="E60" s="12">
        <f>SUMPRODUCT((데이터!$A$2:$A$200=10)*(데이터!$B$2:$B$200=3)*데이터!$E$2:$E$200)</f>
        <v/>
      </c>
      <c r="F60" s="12">
        <f>SUMPRODUCT((데이터!$A$2:$A$200=10)*(데이터!$B$2:$B$200=3)*데이터!$F$2:$F$200)</f>
        <v/>
      </c>
      <c r="G60" s="12">
        <f>IF(E60=0,"",E60+F60)</f>
        <v/>
      </c>
      <c r="H60" s="12">
        <f>IF(E60=0,"",E60*0.15)</f>
        <v/>
      </c>
      <c r="I60" s="12">
        <f>IF(E60=0,"",F60*0.13)</f>
        <v/>
      </c>
      <c r="J60" s="12">
        <f>IF(E60=0,"",H60+I60)</f>
        <v/>
      </c>
      <c r="K60" s="12">
        <f>IF(E60=0,"",J60*0.1)</f>
        <v/>
      </c>
      <c r="L60" s="12">
        <f>IF(AND(E60&lt;&gt;0,B60=4),3000000,0)</f>
        <v/>
      </c>
      <c r="M60" s="12">
        <f>IF(L60=0,0,L60*0.1)</f>
        <v/>
      </c>
      <c r="N60" s="12">
        <f>IF(AND(E60&lt;&gt;0,B60=4),120900,0)</f>
        <v/>
      </c>
      <c r="O60" s="12">
        <f>(SUMPRODUCT((데이터!$A$2:$A$200=10)*(데이터!$B$2:$B$200=3)*데이터!$G$2:$G$200)+SUMPRODUCT((데이터!$A$2:$A$200=10)*(데이터!$B$2:$B$200=3)*데이터!$H$2:$H$200)+SUMPRODUCT((데이터!$A$2:$A$200=10)*(데이터!$B$2:$B$200=3)*데이터!$I$2:$I$200))*0.95</f>
        <v/>
      </c>
      <c r="P60" s="12">
        <f>SUMPRODUCT((데이터!$A$2:$A$200=10)*(데이터!$B$2:$B$200=3)*데이터!$J$2:$J$200)+SUMPRODUCT((데이터!$A$2:$A$200=10)*(데이터!$B$2:$B$200=3)*데이터!$K$2:$K$200)*0.05+SUMPRODUCT((데이터!$A$2:$A$200=10)*(데이터!$B$2:$B$200=3)*데이터!$L$2:$L$200)</f>
        <v/>
      </c>
      <c r="Q60" s="12">
        <f>IF(E60=0,"",J60+K60+L60+M60+N60+O60+P60)</f>
        <v/>
      </c>
      <c r="R60" s="12">
        <f>IF(E60=0,"",E60-Q60)</f>
        <v/>
      </c>
      <c r="S60" s="12">
        <f>IF(E60=0,"",F60-I60-I60*0.1)</f>
        <v/>
      </c>
      <c r="T60" s="24">
        <f>IFERROR(INDEX(데이터!$M$2:$M$200,MATCH(1,(데이터!$A$2:$A$200=10)*(데이터!$B$2:$B$200=3),0)),"")</f>
        <v/>
      </c>
    </row>
    <row r="61">
      <c r="A61" s="23" t="n">
        <v>10</v>
      </c>
      <c r="B61" s="23" t="n">
        <v>4</v>
      </c>
      <c r="C61" s="24">
        <f>IFERROR(SUMPRODUCT((데이터!$A$2:$A$200=10)*(데이터!$B$2:$B$200=4)*데이터!$C$2:$C$200),"")</f>
        <v/>
      </c>
      <c r="D61" s="24">
        <f>IFERROR(SUMPRODUCT((데이터!$A$2:$A$200=10)*(데이터!$B$2:$B$200=4)*데이터!$D$2:$D$200),"")</f>
        <v/>
      </c>
      <c r="E61" s="12">
        <f>SUMPRODUCT((데이터!$A$2:$A$200=10)*(데이터!$B$2:$B$200=4)*데이터!$E$2:$E$200)</f>
        <v/>
      </c>
      <c r="F61" s="12">
        <f>SUMPRODUCT((데이터!$A$2:$A$200=10)*(데이터!$B$2:$B$200=4)*데이터!$F$2:$F$200)</f>
        <v/>
      </c>
      <c r="G61" s="12">
        <f>IF(E61=0,"",E61+F61)</f>
        <v/>
      </c>
      <c r="H61" s="12">
        <f>IF(E61=0,"",E61*0.15)</f>
        <v/>
      </c>
      <c r="I61" s="12">
        <f>IF(E61=0,"",F61*0.13)</f>
        <v/>
      </c>
      <c r="J61" s="12">
        <f>IF(E61=0,"",H61+I61)</f>
        <v/>
      </c>
      <c r="K61" s="12">
        <f>IF(E61=0,"",J61*0.1)</f>
        <v/>
      </c>
      <c r="L61" s="12">
        <f>IF(AND(E61&lt;&gt;0,B61=4),3000000,0)</f>
        <v/>
      </c>
      <c r="M61" s="12">
        <f>IF(L61=0,0,L61*0.1)</f>
        <v/>
      </c>
      <c r="N61" s="12">
        <f>IF(AND(E61&lt;&gt;0,B61=4),120900,0)</f>
        <v/>
      </c>
      <c r="O61" s="12">
        <f>(SUMPRODUCT((데이터!$A$2:$A$200=10)*(데이터!$B$2:$B$200=4)*데이터!$G$2:$G$200)+SUMPRODUCT((데이터!$A$2:$A$200=10)*(데이터!$B$2:$B$200=4)*데이터!$H$2:$H$200)+SUMPRODUCT((데이터!$A$2:$A$200=10)*(데이터!$B$2:$B$200=4)*데이터!$I$2:$I$200))*0.95</f>
        <v/>
      </c>
      <c r="P61" s="12">
        <f>SUMPRODUCT((데이터!$A$2:$A$200=10)*(데이터!$B$2:$B$200=4)*데이터!$J$2:$J$200)+SUMPRODUCT((데이터!$A$2:$A$200=10)*(데이터!$B$2:$B$200=4)*데이터!$K$2:$K$200)*0.05+SUMPRODUCT((데이터!$A$2:$A$200=10)*(데이터!$B$2:$B$200=4)*데이터!$L$2:$L$200)</f>
        <v/>
      </c>
      <c r="Q61" s="12">
        <f>IF(E61=0,"",J61+K61+L61+M61+N61+O61+P61)</f>
        <v/>
      </c>
      <c r="R61" s="12">
        <f>IF(E61=0,"",E61-Q61)</f>
        <v/>
      </c>
      <c r="S61" s="12">
        <f>IF(E61=0,"",F61-I61-I61*0.1)</f>
        <v/>
      </c>
      <c r="T61" s="24">
        <f>IFERROR(INDEX(데이터!$M$2:$M$200,MATCH(1,(데이터!$A$2:$A$200=10)*(데이터!$B$2:$B$200=4),0)),"")</f>
        <v/>
      </c>
    </row>
    <row r="62">
      <c r="A62" s="23" t="n">
        <v>10</v>
      </c>
      <c r="B62" s="23" t="n">
        <v>5</v>
      </c>
      <c r="C62" s="24">
        <f>IFERROR(SUMPRODUCT((데이터!$A$2:$A$200=10)*(데이터!$B$2:$B$200=5)*데이터!$C$2:$C$200),"")</f>
        <v/>
      </c>
      <c r="D62" s="24">
        <f>IFERROR(SUMPRODUCT((데이터!$A$2:$A$200=10)*(데이터!$B$2:$B$200=5)*데이터!$D$2:$D$200),"")</f>
        <v/>
      </c>
      <c r="E62" s="12">
        <f>SUMPRODUCT((데이터!$A$2:$A$200=10)*(데이터!$B$2:$B$200=5)*데이터!$E$2:$E$200)</f>
        <v/>
      </c>
      <c r="F62" s="12">
        <f>SUMPRODUCT((데이터!$A$2:$A$200=10)*(데이터!$B$2:$B$200=5)*데이터!$F$2:$F$200)</f>
        <v/>
      </c>
      <c r="G62" s="12">
        <f>IF(E62=0,"",E62+F62)</f>
        <v/>
      </c>
      <c r="H62" s="12">
        <f>IF(E62=0,"",E62*0.15)</f>
        <v/>
      </c>
      <c r="I62" s="12">
        <f>IF(E62=0,"",F62*0.13)</f>
        <v/>
      </c>
      <c r="J62" s="12">
        <f>IF(E62=0,"",H62+I62)</f>
        <v/>
      </c>
      <c r="K62" s="12">
        <f>IF(E62=0,"",J62*0.1)</f>
        <v/>
      </c>
      <c r="L62" s="12">
        <f>IF(AND(E62&lt;&gt;0,B62=4),3000000,0)</f>
        <v/>
      </c>
      <c r="M62" s="12">
        <f>IF(L62=0,0,L62*0.1)</f>
        <v/>
      </c>
      <c r="N62" s="12">
        <f>IF(AND(E62&lt;&gt;0,B62=4),120900,0)</f>
        <v/>
      </c>
      <c r="O62" s="12">
        <f>(SUMPRODUCT((데이터!$A$2:$A$200=10)*(데이터!$B$2:$B$200=5)*데이터!$G$2:$G$200)+SUMPRODUCT((데이터!$A$2:$A$200=10)*(데이터!$B$2:$B$200=5)*데이터!$H$2:$H$200)+SUMPRODUCT((데이터!$A$2:$A$200=10)*(데이터!$B$2:$B$200=5)*데이터!$I$2:$I$200))*0.95</f>
        <v/>
      </c>
      <c r="P62" s="12">
        <f>SUMPRODUCT((데이터!$A$2:$A$200=10)*(데이터!$B$2:$B$200=5)*데이터!$J$2:$J$200)+SUMPRODUCT((데이터!$A$2:$A$200=10)*(데이터!$B$2:$B$200=5)*데이터!$K$2:$K$200)*0.05+SUMPRODUCT((데이터!$A$2:$A$200=10)*(데이터!$B$2:$B$200=5)*데이터!$L$2:$L$200)</f>
        <v/>
      </c>
      <c r="Q62" s="12">
        <f>IF(E62=0,"",J62+K62+L62+M62+N62+O62+P62)</f>
        <v/>
      </c>
      <c r="R62" s="12">
        <f>IF(E62=0,"",E62-Q62)</f>
        <v/>
      </c>
      <c r="S62" s="12">
        <f>IF(E62=0,"",F62-I62-I62*0.1)</f>
        <v/>
      </c>
      <c r="T62" s="24">
        <f>IFERROR(INDEX(데이터!$M$2:$M$200,MATCH(1,(데이터!$A$2:$A$200=10)*(데이터!$B$2:$B$200=5),0)),"")</f>
        <v/>
      </c>
    </row>
    <row r="63">
      <c r="A63" s="25" t="inlineStr">
        <is>
          <t>10월</t>
        </is>
      </c>
      <c r="B63" s="25" t="inlineStr">
        <is>
          <t>소계</t>
        </is>
      </c>
      <c r="C63" s="26" t="n"/>
      <c r="D63" s="26" t="n"/>
      <c r="E63" s="27">
        <f>SUM(E58:E62)</f>
        <v/>
      </c>
      <c r="F63" s="27">
        <f>SUM(F58:F62)</f>
        <v/>
      </c>
      <c r="G63" s="27">
        <f>SUM(G58:G62)</f>
        <v/>
      </c>
      <c r="H63" s="27">
        <f>SUM(H58:H62)</f>
        <v/>
      </c>
      <c r="I63" s="27">
        <f>SUM(I58:I62)</f>
        <v/>
      </c>
      <c r="J63" s="27">
        <f>SUM(J58:J62)</f>
        <v/>
      </c>
      <c r="K63" s="27">
        <f>SUM(K58:K62)</f>
        <v/>
      </c>
      <c r="L63" s="27">
        <f>SUM(L58:L62)</f>
        <v/>
      </c>
      <c r="M63" s="27">
        <f>SUM(M58:M62)</f>
        <v/>
      </c>
      <c r="N63" s="27">
        <f>SUM(N58:N62)</f>
        <v/>
      </c>
      <c r="O63" s="27">
        <f>SUM(O58:O62)</f>
        <v/>
      </c>
      <c r="P63" s="27">
        <f>SUM(P58:P62)</f>
        <v/>
      </c>
      <c r="Q63" s="27">
        <f>SUM(Q58:Q62)</f>
        <v/>
      </c>
      <c r="R63" s="27">
        <f>SUM(R58:R62)</f>
        <v/>
      </c>
      <c r="S63" s="27">
        <f>SUM(S58:S62)</f>
        <v/>
      </c>
      <c r="T63" s="26" t="n"/>
    </row>
    <row r="64">
      <c r="A64" s="23" t="n">
        <v>11</v>
      </c>
      <c r="B64" s="23" t="n">
        <v>1</v>
      </c>
      <c r="C64" s="24">
        <f>IFERROR(SUMPRODUCT((데이터!$A$2:$A$200=11)*(데이터!$B$2:$B$200=1)*데이터!$C$2:$C$200),"")</f>
        <v/>
      </c>
      <c r="D64" s="24">
        <f>IFERROR(SUMPRODUCT((데이터!$A$2:$A$200=11)*(데이터!$B$2:$B$200=1)*데이터!$D$2:$D$200),"")</f>
        <v/>
      </c>
      <c r="E64" s="12">
        <f>SUMPRODUCT((데이터!$A$2:$A$200=11)*(데이터!$B$2:$B$200=1)*데이터!$E$2:$E$200)</f>
        <v/>
      </c>
      <c r="F64" s="12">
        <f>SUMPRODUCT((데이터!$A$2:$A$200=11)*(데이터!$B$2:$B$200=1)*데이터!$F$2:$F$200)</f>
        <v/>
      </c>
      <c r="G64" s="12">
        <f>IF(E64=0,"",E64+F64)</f>
        <v/>
      </c>
      <c r="H64" s="12">
        <f>IF(E64=0,"",E64*0.15)</f>
        <v/>
      </c>
      <c r="I64" s="12">
        <f>IF(E64=0,"",F64*0.13)</f>
        <v/>
      </c>
      <c r="J64" s="12">
        <f>IF(E64=0,"",H64+I64)</f>
        <v/>
      </c>
      <c r="K64" s="12">
        <f>IF(E64=0,"",J64*0.1)</f>
        <v/>
      </c>
      <c r="L64" s="12">
        <f>IF(AND(E64&lt;&gt;0,B64=4),3000000,0)</f>
        <v/>
      </c>
      <c r="M64" s="12">
        <f>IF(L64=0,0,L64*0.1)</f>
        <v/>
      </c>
      <c r="N64" s="12">
        <f>IF(AND(E64&lt;&gt;0,B64=4),120900,0)</f>
        <v/>
      </c>
      <c r="O64" s="12">
        <f>(SUMPRODUCT((데이터!$A$2:$A$200=11)*(데이터!$B$2:$B$200=1)*데이터!$G$2:$G$200)+SUMPRODUCT((데이터!$A$2:$A$200=11)*(데이터!$B$2:$B$200=1)*데이터!$H$2:$H$200)+SUMPRODUCT((데이터!$A$2:$A$200=11)*(데이터!$B$2:$B$200=1)*데이터!$I$2:$I$200))*0.95</f>
        <v/>
      </c>
      <c r="P64" s="12">
        <f>SUMPRODUCT((데이터!$A$2:$A$200=11)*(데이터!$B$2:$B$200=1)*데이터!$J$2:$J$200)+SUMPRODUCT((데이터!$A$2:$A$200=11)*(데이터!$B$2:$B$200=1)*데이터!$K$2:$K$200)*0.05+SUMPRODUCT((데이터!$A$2:$A$200=11)*(데이터!$B$2:$B$200=1)*데이터!$L$2:$L$200)</f>
        <v/>
      </c>
      <c r="Q64" s="12">
        <f>IF(E64=0,"",J64+K64+L64+M64+N64+O64+P64)</f>
        <v/>
      </c>
      <c r="R64" s="12">
        <f>IF(E64=0,"",E64-Q64)</f>
        <v/>
      </c>
      <c r="S64" s="12">
        <f>IF(E64=0,"",F64-I64-I64*0.1)</f>
        <v/>
      </c>
      <c r="T64" s="24">
        <f>IFERROR(INDEX(데이터!$M$2:$M$200,MATCH(1,(데이터!$A$2:$A$200=11)*(데이터!$B$2:$B$200=1),0)),"")</f>
        <v/>
      </c>
    </row>
    <row r="65">
      <c r="A65" s="23" t="n">
        <v>11</v>
      </c>
      <c r="B65" s="23" t="n">
        <v>2</v>
      </c>
      <c r="C65" s="24">
        <f>IFERROR(SUMPRODUCT((데이터!$A$2:$A$200=11)*(데이터!$B$2:$B$200=2)*데이터!$C$2:$C$200),"")</f>
        <v/>
      </c>
      <c r="D65" s="24">
        <f>IFERROR(SUMPRODUCT((데이터!$A$2:$A$200=11)*(데이터!$B$2:$B$200=2)*데이터!$D$2:$D$200),"")</f>
        <v/>
      </c>
      <c r="E65" s="12">
        <f>SUMPRODUCT((데이터!$A$2:$A$200=11)*(데이터!$B$2:$B$200=2)*데이터!$E$2:$E$200)</f>
        <v/>
      </c>
      <c r="F65" s="12">
        <f>SUMPRODUCT((데이터!$A$2:$A$200=11)*(데이터!$B$2:$B$200=2)*데이터!$F$2:$F$200)</f>
        <v/>
      </c>
      <c r="G65" s="12">
        <f>IF(E65=0,"",E65+F65)</f>
        <v/>
      </c>
      <c r="H65" s="12">
        <f>IF(E65=0,"",E65*0.15)</f>
        <v/>
      </c>
      <c r="I65" s="12">
        <f>IF(E65=0,"",F65*0.13)</f>
        <v/>
      </c>
      <c r="J65" s="12">
        <f>IF(E65=0,"",H65+I65)</f>
        <v/>
      </c>
      <c r="K65" s="12">
        <f>IF(E65=0,"",J65*0.1)</f>
        <v/>
      </c>
      <c r="L65" s="12">
        <f>IF(AND(E65&lt;&gt;0,B65=4),3000000,0)</f>
        <v/>
      </c>
      <c r="M65" s="12">
        <f>IF(L65=0,0,L65*0.1)</f>
        <v/>
      </c>
      <c r="N65" s="12">
        <f>IF(AND(E65&lt;&gt;0,B65=4),120900,0)</f>
        <v/>
      </c>
      <c r="O65" s="12">
        <f>(SUMPRODUCT((데이터!$A$2:$A$200=11)*(데이터!$B$2:$B$200=2)*데이터!$G$2:$G$200)+SUMPRODUCT((데이터!$A$2:$A$200=11)*(데이터!$B$2:$B$200=2)*데이터!$H$2:$H$200)+SUMPRODUCT((데이터!$A$2:$A$200=11)*(데이터!$B$2:$B$200=2)*데이터!$I$2:$I$200))*0.95</f>
        <v/>
      </c>
      <c r="P65" s="12">
        <f>SUMPRODUCT((데이터!$A$2:$A$200=11)*(데이터!$B$2:$B$200=2)*데이터!$J$2:$J$200)+SUMPRODUCT((데이터!$A$2:$A$200=11)*(데이터!$B$2:$B$200=2)*데이터!$K$2:$K$200)*0.05+SUMPRODUCT((데이터!$A$2:$A$200=11)*(데이터!$B$2:$B$200=2)*데이터!$L$2:$L$200)</f>
        <v/>
      </c>
      <c r="Q65" s="12">
        <f>IF(E65=0,"",J65+K65+L65+M65+N65+O65+P65)</f>
        <v/>
      </c>
      <c r="R65" s="12">
        <f>IF(E65=0,"",E65-Q65)</f>
        <v/>
      </c>
      <c r="S65" s="12">
        <f>IF(E65=0,"",F65-I65-I65*0.1)</f>
        <v/>
      </c>
      <c r="T65" s="24">
        <f>IFERROR(INDEX(데이터!$M$2:$M$200,MATCH(1,(데이터!$A$2:$A$200=11)*(데이터!$B$2:$B$200=2),0)),"")</f>
        <v/>
      </c>
    </row>
    <row r="66">
      <c r="A66" s="23" t="n">
        <v>11</v>
      </c>
      <c r="B66" s="23" t="n">
        <v>3</v>
      </c>
      <c r="C66" s="24">
        <f>IFERROR(SUMPRODUCT((데이터!$A$2:$A$200=11)*(데이터!$B$2:$B$200=3)*데이터!$C$2:$C$200),"")</f>
        <v/>
      </c>
      <c r="D66" s="24">
        <f>IFERROR(SUMPRODUCT((데이터!$A$2:$A$200=11)*(데이터!$B$2:$B$200=3)*데이터!$D$2:$D$200),"")</f>
        <v/>
      </c>
      <c r="E66" s="12">
        <f>SUMPRODUCT((데이터!$A$2:$A$200=11)*(데이터!$B$2:$B$200=3)*데이터!$E$2:$E$200)</f>
        <v/>
      </c>
      <c r="F66" s="12">
        <f>SUMPRODUCT((데이터!$A$2:$A$200=11)*(데이터!$B$2:$B$200=3)*데이터!$F$2:$F$200)</f>
        <v/>
      </c>
      <c r="G66" s="12">
        <f>IF(E66=0,"",E66+F66)</f>
        <v/>
      </c>
      <c r="H66" s="12">
        <f>IF(E66=0,"",E66*0.15)</f>
        <v/>
      </c>
      <c r="I66" s="12">
        <f>IF(E66=0,"",F66*0.13)</f>
        <v/>
      </c>
      <c r="J66" s="12">
        <f>IF(E66=0,"",H66+I66)</f>
        <v/>
      </c>
      <c r="K66" s="12">
        <f>IF(E66=0,"",J66*0.1)</f>
        <v/>
      </c>
      <c r="L66" s="12">
        <f>IF(AND(E66&lt;&gt;0,B66=4),3000000,0)</f>
        <v/>
      </c>
      <c r="M66" s="12">
        <f>IF(L66=0,0,L66*0.1)</f>
        <v/>
      </c>
      <c r="N66" s="12">
        <f>IF(AND(E66&lt;&gt;0,B66=4),120900,0)</f>
        <v/>
      </c>
      <c r="O66" s="12">
        <f>(SUMPRODUCT((데이터!$A$2:$A$200=11)*(데이터!$B$2:$B$200=3)*데이터!$G$2:$G$200)+SUMPRODUCT((데이터!$A$2:$A$200=11)*(데이터!$B$2:$B$200=3)*데이터!$H$2:$H$200)+SUMPRODUCT((데이터!$A$2:$A$200=11)*(데이터!$B$2:$B$200=3)*데이터!$I$2:$I$200))*0.95</f>
        <v/>
      </c>
      <c r="P66" s="12">
        <f>SUMPRODUCT((데이터!$A$2:$A$200=11)*(데이터!$B$2:$B$200=3)*데이터!$J$2:$J$200)+SUMPRODUCT((데이터!$A$2:$A$200=11)*(데이터!$B$2:$B$200=3)*데이터!$K$2:$K$200)*0.05+SUMPRODUCT((데이터!$A$2:$A$200=11)*(데이터!$B$2:$B$200=3)*데이터!$L$2:$L$200)</f>
        <v/>
      </c>
      <c r="Q66" s="12">
        <f>IF(E66=0,"",J66+K66+L66+M66+N66+O66+P66)</f>
        <v/>
      </c>
      <c r="R66" s="12">
        <f>IF(E66=0,"",E66-Q66)</f>
        <v/>
      </c>
      <c r="S66" s="12">
        <f>IF(E66=0,"",F66-I66-I66*0.1)</f>
        <v/>
      </c>
      <c r="T66" s="24">
        <f>IFERROR(INDEX(데이터!$M$2:$M$200,MATCH(1,(데이터!$A$2:$A$200=11)*(데이터!$B$2:$B$200=3),0)),"")</f>
        <v/>
      </c>
    </row>
    <row r="67">
      <c r="A67" s="23" t="n">
        <v>11</v>
      </c>
      <c r="B67" s="23" t="n">
        <v>4</v>
      </c>
      <c r="C67" s="24">
        <f>IFERROR(SUMPRODUCT((데이터!$A$2:$A$200=11)*(데이터!$B$2:$B$200=4)*데이터!$C$2:$C$200),"")</f>
        <v/>
      </c>
      <c r="D67" s="24">
        <f>IFERROR(SUMPRODUCT((데이터!$A$2:$A$200=11)*(데이터!$B$2:$B$200=4)*데이터!$D$2:$D$200),"")</f>
        <v/>
      </c>
      <c r="E67" s="12">
        <f>SUMPRODUCT((데이터!$A$2:$A$200=11)*(데이터!$B$2:$B$200=4)*데이터!$E$2:$E$200)</f>
        <v/>
      </c>
      <c r="F67" s="12">
        <f>SUMPRODUCT((데이터!$A$2:$A$200=11)*(데이터!$B$2:$B$200=4)*데이터!$F$2:$F$200)</f>
        <v/>
      </c>
      <c r="G67" s="12">
        <f>IF(E67=0,"",E67+F67)</f>
        <v/>
      </c>
      <c r="H67" s="12">
        <f>IF(E67=0,"",E67*0.15)</f>
        <v/>
      </c>
      <c r="I67" s="12">
        <f>IF(E67=0,"",F67*0.13)</f>
        <v/>
      </c>
      <c r="J67" s="12">
        <f>IF(E67=0,"",H67+I67)</f>
        <v/>
      </c>
      <c r="K67" s="12">
        <f>IF(E67=0,"",J67*0.1)</f>
        <v/>
      </c>
      <c r="L67" s="12">
        <f>IF(AND(E67&lt;&gt;0,B67=4),3000000,0)</f>
        <v/>
      </c>
      <c r="M67" s="12">
        <f>IF(L67=0,0,L67*0.1)</f>
        <v/>
      </c>
      <c r="N67" s="12">
        <f>IF(AND(E67&lt;&gt;0,B67=4),120900,0)</f>
        <v/>
      </c>
      <c r="O67" s="12">
        <f>(SUMPRODUCT((데이터!$A$2:$A$200=11)*(데이터!$B$2:$B$200=4)*데이터!$G$2:$G$200)+SUMPRODUCT((데이터!$A$2:$A$200=11)*(데이터!$B$2:$B$200=4)*데이터!$H$2:$H$200)+SUMPRODUCT((데이터!$A$2:$A$200=11)*(데이터!$B$2:$B$200=4)*데이터!$I$2:$I$200))*0.95</f>
        <v/>
      </c>
      <c r="P67" s="12">
        <f>SUMPRODUCT((데이터!$A$2:$A$200=11)*(데이터!$B$2:$B$200=4)*데이터!$J$2:$J$200)+SUMPRODUCT((데이터!$A$2:$A$200=11)*(데이터!$B$2:$B$200=4)*데이터!$K$2:$K$200)*0.05+SUMPRODUCT((데이터!$A$2:$A$200=11)*(데이터!$B$2:$B$200=4)*데이터!$L$2:$L$200)</f>
        <v/>
      </c>
      <c r="Q67" s="12">
        <f>IF(E67=0,"",J67+K67+L67+M67+N67+O67+P67)</f>
        <v/>
      </c>
      <c r="R67" s="12">
        <f>IF(E67=0,"",E67-Q67)</f>
        <v/>
      </c>
      <c r="S67" s="12">
        <f>IF(E67=0,"",F67-I67-I67*0.1)</f>
        <v/>
      </c>
      <c r="T67" s="24">
        <f>IFERROR(INDEX(데이터!$M$2:$M$200,MATCH(1,(데이터!$A$2:$A$200=11)*(데이터!$B$2:$B$200=4),0)),"")</f>
        <v/>
      </c>
    </row>
    <row r="68">
      <c r="A68" s="23" t="n">
        <v>11</v>
      </c>
      <c r="B68" s="23" t="n">
        <v>5</v>
      </c>
      <c r="C68" s="24">
        <f>IFERROR(SUMPRODUCT((데이터!$A$2:$A$200=11)*(데이터!$B$2:$B$200=5)*데이터!$C$2:$C$200),"")</f>
        <v/>
      </c>
      <c r="D68" s="24">
        <f>IFERROR(SUMPRODUCT((데이터!$A$2:$A$200=11)*(데이터!$B$2:$B$200=5)*데이터!$D$2:$D$200),"")</f>
        <v/>
      </c>
      <c r="E68" s="12">
        <f>SUMPRODUCT((데이터!$A$2:$A$200=11)*(데이터!$B$2:$B$200=5)*데이터!$E$2:$E$200)</f>
        <v/>
      </c>
      <c r="F68" s="12">
        <f>SUMPRODUCT((데이터!$A$2:$A$200=11)*(데이터!$B$2:$B$200=5)*데이터!$F$2:$F$200)</f>
        <v/>
      </c>
      <c r="G68" s="12">
        <f>IF(E68=0,"",E68+F68)</f>
        <v/>
      </c>
      <c r="H68" s="12">
        <f>IF(E68=0,"",E68*0.15)</f>
        <v/>
      </c>
      <c r="I68" s="12">
        <f>IF(E68=0,"",F68*0.13)</f>
        <v/>
      </c>
      <c r="J68" s="12">
        <f>IF(E68=0,"",H68+I68)</f>
        <v/>
      </c>
      <c r="K68" s="12">
        <f>IF(E68=0,"",J68*0.1)</f>
        <v/>
      </c>
      <c r="L68" s="12">
        <f>IF(AND(E68&lt;&gt;0,B68=4),3000000,0)</f>
        <v/>
      </c>
      <c r="M68" s="12">
        <f>IF(L68=0,0,L68*0.1)</f>
        <v/>
      </c>
      <c r="N68" s="12">
        <f>IF(AND(E68&lt;&gt;0,B68=4),120900,0)</f>
        <v/>
      </c>
      <c r="O68" s="12">
        <f>(SUMPRODUCT((데이터!$A$2:$A$200=11)*(데이터!$B$2:$B$200=5)*데이터!$G$2:$G$200)+SUMPRODUCT((데이터!$A$2:$A$200=11)*(데이터!$B$2:$B$200=5)*데이터!$H$2:$H$200)+SUMPRODUCT((데이터!$A$2:$A$200=11)*(데이터!$B$2:$B$200=5)*데이터!$I$2:$I$200))*0.95</f>
        <v/>
      </c>
      <c r="P68" s="12">
        <f>SUMPRODUCT((데이터!$A$2:$A$200=11)*(데이터!$B$2:$B$200=5)*데이터!$J$2:$J$200)+SUMPRODUCT((데이터!$A$2:$A$200=11)*(데이터!$B$2:$B$200=5)*데이터!$K$2:$K$200)*0.05+SUMPRODUCT((데이터!$A$2:$A$200=11)*(데이터!$B$2:$B$200=5)*데이터!$L$2:$L$200)</f>
        <v/>
      </c>
      <c r="Q68" s="12">
        <f>IF(E68=0,"",J68+K68+L68+M68+N68+O68+P68)</f>
        <v/>
      </c>
      <c r="R68" s="12">
        <f>IF(E68=0,"",E68-Q68)</f>
        <v/>
      </c>
      <c r="S68" s="12">
        <f>IF(E68=0,"",F68-I68-I68*0.1)</f>
        <v/>
      </c>
      <c r="T68" s="24">
        <f>IFERROR(INDEX(데이터!$M$2:$M$200,MATCH(1,(데이터!$A$2:$A$200=11)*(데이터!$B$2:$B$200=5),0)),"")</f>
        <v/>
      </c>
    </row>
    <row r="69">
      <c r="A69" s="25" t="inlineStr">
        <is>
          <t>11월</t>
        </is>
      </c>
      <c r="B69" s="25" t="inlineStr">
        <is>
          <t>소계</t>
        </is>
      </c>
      <c r="C69" s="26" t="n"/>
      <c r="D69" s="26" t="n"/>
      <c r="E69" s="27">
        <f>SUM(E64:E68)</f>
        <v/>
      </c>
      <c r="F69" s="27">
        <f>SUM(F64:F68)</f>
        <v/>
      </c>
      <c r="G69" s="27">
        <f>SUM(G64:G68)</f>
        <v/>
      </c>
      <c r="H69" s="27">
        <f>SUM(H64:H68)</f>
        <v/>
      </c>
      <c r="I69" s="27">
        <f>SUM(I64:I68)</f>
        <v/>
      </c>
      <c r="J69" s="27">
        <f>SUM(J64:J68)</f>
        <v/>
      </c>
      <c r="K69" s="27">
        <f>SUM(K64:K68)</f>
        <v/>
      </c>
      <c r="L69" s="27">
        <f>SUM(L64:L68)</f>
        <v/>
      </c>
      <c r="M69" s="27">
        <f>SUM(M64:M68)</f>
        <v/>
      </c>
      <c r="N69" s="27">
        <f>SUM(N64:N68)</f>
        <v/>
      </c>
      <c r="O69" s="27">
        <f>SUM(O64:O68)</f>
        <v/>
      </c>
      <c r="P69" s="27">
        <f>SUM(P64:P68)</f>
        <v/>
      </c>
      <c r="Q69" s="27">
        <f>SUM(Q64:Q68)</f>
        <v/>
      </c>
      <c r="R69" s="27">
        <f>SUM(R64:R68)</f>
        <v/>
      </c>
      <c r="S69" s="27">
        <f>SUM(S64:S68)</f>
        <v/>
      </c>
      <c r="T69" s="26" t="n"/>
    </row>
    <row r="70">
      <c r="A70" s="23" t="n">
        <v>12</v>
      </c>
      <c r="B70" s="23" t="n">
        <v>1</v>
      </c>
      <c r="C70" s="24">
        <f>IFERROR(SUMPRODUCT((데이터!$A$2:$A$200=12)*(데이터!$B$2:$B$200=1)*데이터!$C$2:$C$200),"")</f>
        <v/>
      </c>
      <c r="D70" s="24">
        <f>IFERROR(SUMPRODUCT((데이터!$A$2:$A$200=12)*(데이터!$B$2:$B$200=1)*데이터!$D$2:$D$200),"")</f>
        <v/>
      </c>
      <c r="E70" s="12">
        <f>SUMPRODUCT((데이터!$A$2:$A$200=12)*(데이터!$B$2:$B$200=1)*데이터!$E$2:$E$200)</f>
        <v/>
      </c>
      <c r="F70" s="12">
        <f>SUMPRODUCT((데이터!$A$2:$A$200=12)*(데이터!$B$2:$B$200=1)*데이터!$F$2:$F$200)</f>
        <v/>
      </c>
      <c r="G70" s="12">
        <f>IF(E70=0,"",E70+F70)</f>
        <v/>
      </c>
      <c r="H70" s="12">
        <f>IF(E70=0,"",E70*0.15)</f>
        <v/>
      </c>
      <c r="I70" s="12">
        <f>IF(E70=0,"",F70*0.13)</f>
        <v/>
      </c>
      <c r="J70" s="12">
        <f>IF(E70=0,"",H70+I70)</f>
        <v/>
      </c>
      <c r="K70" s="12">
        <f>IF(E70=0,"",J70*0.1)</f>
        <v/>
      </c>
      <c r="L70" s="12">
        <f>IF(AND(E70&lt;&gt;0,B70=4),3000000,0)</f>
        <v/>
      </c>
      <c r="M70" s="12">
        <f>IF(L70=0,0,L70*0.1)</f>
        <v/>
      </c>
      <c r="N70" s="12">
        <f>IF(AND(E70&lt;&gt;0,B70=4),120900,0)</f>
        <v/>
      </c>
      <c r="O70" s="12">
        <f>(SUMPRODUCT((데이터!$A$2:$A$200=12)*(데이터!$B$2:$B$200=1)*데이터!$G$2:$G$200)+SUMPRODUCT((데이터!$A$2:$A$200=12)*(데이터!$B$2:$B$200=1)*데이터!$H$2:$H$200)+SUMPRODUCT((데이터!$A$2:$A$200=12)*(데이터!$B$2:$B$200=1)*데이터!$I$2:$I$200))*0.95</f>
        <v/>
      </c>
      <c r="P70" s="12">
        <f>SUMPRODUCT((데이터!$A$2:$A$200=12)*(데이터!$B$2:$B$200=1)*데이터!$J$2:$J$200)+SUMPRODUCT((데이터!$A$2:$A$200=12)*(데이터!$B$2:$B$200=1)*데이터!$K$2:$K$200)*0.05+SUMPRODUCT((데이터!$A$2:$A$200=12)*(데이터!$B$2:$B$200=1)*데이터!$L$2:$L$200)</f>
        <v/>
      </c>
      <c r="Q70" s="12">
        <f>IF(E70=0,"",J70+K70+L70+M70+N70+O70+P70)</f>
        <v/>
      </c>
      <c r="R70" s="12">
        <f>IF(E70=0,"",E70-Q70)</f>
        <v/>
      </c>
      <c r="S70" s="12">
        <f>IF(E70=0,"",F70-I70-I70*0.1)</f>
        <v/>
      </c>
      <c r="T70" s="24">
        <f>IFERROR(INDEX(데이터!$M$2:$M$200,MATCH(1,(데이터!$A$2:$A$200=12)*(데이터!$B$2:$B$200=1),0)),"")</f>
        <v/>
      </c>
    </row>
    <row r="71">
      <c r="A71" s="23" t="n">
        <v>12</v>
      </c>
      <c r="B71" s="23" t="n">
        <v>2</v>
      </c>
      <c r="C71" s="24">
        <f>IFERROR(SUMPRODUCT((데이터!$A$2:$A$200=12)*(데이터!$B$2:$B$200=2)*데이터!$C$2:$C$200),"")</f>
        <v/>
      </c>
      <c r="D71" s="24">
        <f>IFERROR(SUMPRODUCT((데이터!$A$2:$A$200=12)*(데이터!$B$2:$B$200=2)*데이터!$D$2:$D$200),"")</f>
        <v/>
      </c>
      <c r="E71" s="12">
        <f>SUMPRODUCT((데이터!$A$2:$A$200=12)*(데이터!$B$2:$B$200=2)*데이터!$E$2:$E$200)</f>
        <v/>
      </c>
      <c r="F71" s="12">
        <f>SUMPRODUCT((데이터!$A$2:$A$200=12)*(데이터!$B$2:$B$200=2)*데이터!$F$2:$F$200)</f>
        <v/>
      </c>
      <c r="G71" s="12">
        <f>IF(E71=0,"",E71+F71)</f>
        <v/>
      </c>
      <c r="H71" s="12">
        <f>IF(E71=0,"",E71*0.15)</f>
        <v/>
      </c>
      <c r="I71" s="12">
        <f>IF(E71=0,"",F71*0.13)</f>
        <v/>
      </c>
      <c r="J71" s="12">
        <f>IF(E71=0,"",H71+I71)</f>
        <v/>
      </c>
      <c r="K71" s="12">
        <f>IF(E71=0,"",J71*0.1)</f>
        <v/>
      </c>
      <c r="L71" s="12">
        <f>IF(AND(E71&lt;&gt;0,B71=4),3000000,0)</f>
        <v/>
      </c>
      <c r="M71" s="12">
        <f>IF(L71=0,0,L71*0.1)</f>
        <v/>
      </c>
      <c r="N71" s="12">
        <f>IF(AND(E71&lt;&gt;0,B71=4),120900,0)</f>
        <v/>
      </c>
      <c r="O71" s="12">
        <f>(SUMPRODUCT((데이터!$A$2:$A$200=12)*(데이터!$B$2:$B$200=2)*데이터!$G$2:$G$200)+SUMPRODUCT((데이터!$A$2:$A$200=12)*(데이터!$B$2:$B$200=2)*데이터!$H$2:$H$200)+SUMPRODUCT((데이터!$A$2:$A$200=12)*(데이터!$B$2:$B$200=2)*데이터!$I$2:$I$200))*0.95</f>
        <v/>
      </c>
      <c r="P71" s="12">
        <f>SUMPRODUCT((데이터!$A$2:$A$200=12)*(데이터!$B$2:$B$200=2)*데이터!$J$2:$J$200)+SUMPRODUCT((데이터!$A$2:$A$200=12)*(데이터!$B$2:$B$200=2)*데이터!$K$2:$K$200)*0.05+SUMPRODUCT((데이터!$A$2:$A$200=12)*(데이터!$B$2:$B$200=2)*데이터!$L$2:$L$200)</f>
        <v/>
      </c>
      <c r="Q71" s="12">
        <f>IF(E71=0,"",J71+K71+L71+M71+N71+O71+P71)</f>
        <v/>
      </c>
      <c r="R71" s="12">
        <f>IF(E71=0,"",E71-Q71)</f>
        <v/>
      </c>
      <c r="S71" s="12">
        <f>IF(E71=0,"",F71-I71-I71*0.1)</f>
        <v/>
      </c>
      <c r="T71" s="24">
        <f>IFERROR(INDEX(데이터!$M$2:$M$200,MATCH(1,(데이터!$A$2:$A$200=12)*(데이터!$B$2:$B$200=2),0)),"")</f>
        <v/>
      </c>
    </row>
    <row r="72">
      <c r="A72" s="23" t="n">
        <v>12</v>
      </c>
      <c r="B72" s="23" t="n">
        <v>3</v>
      </c>
      <c r="C72" s="24">
        <f>IFERROR(SUMPRODUCT((데이터!$A$2:$A$200=12)*(데이터!$B$2:$B$200=3)*데이터!$C$2:$C$200),"")</f>
        <v/>
      </c>
      <c r="D72" s="24">
        <f>IFERROR(SUMPRODUCT((데이터!$A$2:$A$200=12)*(데이터!$B$2:$B$200=3)*데이터!$D$2:$D$200),"")</f>
        <v/>
      </c>
      <c r="E72" s="12">
        <f>SUMPRODUCT((데이터!$A$2:$A$200=12)*(데이터!$B$2:$B$200=3)*데이터!$E$2:$E$200)</f>
        <v/>
      </c>
      <c r="F72" s="12">
        <f>SUMPRODUCT((데이터!$A$2:$A$200=12)*(데이터!$B$2:$B$200=3)*데이터!$F$2:$F$200)</f>
        <v/>
      </c>
      <c r="G72" s="12">
        <f>IF(E72=0,"",E72+F72)</f>
        <v/>
      </c>
      <c r="H72" s="12">
        <f>IF(E72=0,"",E72*0.15)</f>
        <v/>
      </c>
      <c r="I72" s="12">
        <f>IF(E72=0,"",F72*0.13)</f>
        <v/>
      </c>
      <c r="J72" s="12">
        <f>IF(E72=0,"",H72+I72)</f>
        <v/>
      </c>
      <c r="K72" s="12">
        <f>IF(E72=0,"",J72*0.1)</f>
        <v/>
      </c>
      <c r="L72" s="12">
        <f>IF(AND(E72&lt;&gt;0,B72=4),3000000,0)</f>
        <v/>
      </c>
      <c r="M72" s="12">
        <f>IF(L72=0,0,L72*0.1)</f>
        <v/>
      </c>
      <c r="N72" s="12">
        <f>IF(AND(E72&lt;&gt;0,B72=4),120900,0)</f>
        <v/>
      </c>
      <c r="O72" s="12">
        <f>(SUMPRODUCT((데이터!$A$2:$A$200=12)*(데이터!$B$2:$B$200=3)*데이터!$G$2:$G$200)+SUMPRODUCT((데이터!$A$2:$A$200=12)*(데이터!$B$2:$B$200=3)*데이터!$H$2:$H$200)+SUMPRODUCT((데이터!$A$2:$A$200=12)*(데이터!$B$2:$B$200=3)*데이터!$I$2:$I$200))*0.95</f>
        <v/>
      </c>
      <c r="P72" s="12">
        <f>SUMPRODUCT((데이터!$A$2:$A$200=12)*(데이터!$B$2:$B$200=3)*데이터!$J$2:$J$200)+SUMPRODUCT((데이터!$A$2:$A$200=12)*(데이터!$B$2:$B$200=3)*데이터!$K$2:$K$200)*0.05+SUMPRODUCT((데이터!$A$2:$A$200=12)*(데이터!$B$2:$B$200=3)*데이터!$L$2:$L$200)</f>
        <v/>
      </c>
      <c r="Q72" s="12">
        <f>IF(E72=0,"",J72+K72+L72+M72+N72+O72+P72)</f>
        <v/>
      </c>
      <c r="R72" s="12">
        <f>IF(E72=0,"",E72-Q72)</f>
        <v/>
      </c>
      <c r="S72" s="12">
        <f>IF(E72=0,"",F72-I72-I72*0.1)</f>
        <v/>
      </c>
      <c r="T72" s="24">
        <f>IFERROR(INDEX(데이터!$M$2:$M$200,MATCH(1,(데이터!$A$2:$A$200=12)*(데이터!$B$2:$B$200=3),0)),"")</f>
        <v/>
      </c>
    </row>
    <row r="73">
      <c r="A73" s="23" t="n">
        <v>12</v>
      </c>
      <c r="B73" s="23" t="n">
        <v>4</v>
      </c>
      <c r="C73" s="24">
        <f>IFERROR(SUMPRODUCT((데이터!$A$2:$A$200=12)*(데이터!$B$2:$B$200=4)*데이터!$C$2:$C$200),"")</f>
        <v/>
      </c>
      <c r="D73" s="24">
        <f>IFERROR(SUMPRODUCT((데이터!$A$2:$A$200=12)*(데이터!$B$2:$B$200=4)*데이터!$D$2:$D$200),"")</f>
        <v/>
      </c>
      <c r="E73" s="12">
        <f>SUMPRODUCT((데이터!$A$2:$A$200=12)*(데이터!$B$2:$B$200=4)*데이터!$E$2:$E$200)</f>
        <v/>
      </c>
      <c r="F73" s="12">
        <f>SUMPRODUCT((데이터!$A$2:$A$200=12)*(데이터!$B$2:$B$200=4)*데이터!$F$2:$F$200)</f>
        <v/>
      </c>
      <c r="G73" s="12">
        <f>IF(E73=0,"",E73+F73)</f>
        <v/>
      </c>
      <c r="H73" s="12">
        <f>IF(E73=0,"",E73*0.15)</f>
        <v/>
      </c>
      <c r="I73" s="12">
        <f>IF(E73=0,"",F73*0.13)</f>
        <v/>
      </c>
      <c r="J73" s="12">
        <f>IF(E73=0,"",H73+I73)</f>
        <v/>
      </c>
      <c r="K73" s="12">
        <f>IF(E73=0,"",J73*0.1)</f>
        <v/>
      </c>
      <c r="L73" s="12">
        <f>IF(AND(E73&lt;&gt;0,B73=4),3000000,0)</f>
        <v/>
      </c>
      <c r="M73" s="12">
        <f>IF(L73=0,0,L73*0.1)</f>
        <v/>
      </c>
      <c r="N73" s="12">
        <f>IF(AND(E73&lt;&gt;0,B73=4),120900,0)</f>
        <v/>
      </c>
      <c r="O73" s="12">
        <f>(SUMPRODUCT((데이터!$A$2:$A$200=12)*(데이터!$B$2:$B$200=4)*데이터!$G$2:$G$200)+SUMPRODUCT((데이터!$A$2:$A$200=12)*(데이터!$B$2:$B$200=4)*데이터!$H$2:$H$200)+SUMPRODUCT((데이터!$A$2:$A$200=12)*(데이터!$B$2:$B$200=4)*데이터!$I$2:$I$200))*0.95</f>
        <v/>
      </c>
      <c r="P73" s="12">
        <f>SUMPRODUCT((데이터!$A$2:$A$200=12)*(데이터!$B$2:$B$200=4)*데이터!$J$2:$J$200)+SUMPRODUCT((데이터!$A$2:$A$200=12)*(데이터!$B$2:$B$200=4)*데이터!$K$2:$K$200)*0.05+SUMPRODUCT((데이터!$A$2:$A$200=12)*(데이터!$B$2:$B$200=4)*데이터!$L$2:$L$200)</f>
        <v/>
      </c>
      <c r="Q73" s="12">
        <f>IF(E73=0,"",J73+K73+L73+M73+N73+O73+P73)</f>
        <v/>
      </c>
      <c r="R73" s="12">
        <f>IF(E73=0,"",E73-Q73)</f>
        <v/>
      </c>
      <c r="S73" s="12">
        <f>IF(E73=0,"",F73-I73-I73*0.1)</f>
        <v/>
      </c>
      <c r="T73" s="24">
        <f>IFERROR(INDEX(데이터!$M$2:$M$200,MATCH(1,(데이터!$A$2:$A$200=12)*(데이터!$B$2:$B$200=4),0)),"")</f>
        <v/>
      </c>
    </row>
    <row r="74">
      <c r="A74" s="23" t="n">
        <v>12</v>
      </c>
      <c r="B74" s="23" t="n">
        <v>5</v>
      </c>
      <c r="C74" s="24">
        <f>IFERROR(SUMPRODUCT((데이터!$A$2:$A$200=12)*(데이터!$B$2:$B$200=5)*데이터!$C$2:$C$200),"")</f>
        <v/>
      </c>
      <c r="D74" s="24">
        <f>IFERROR(SUMPRODUCT((데이터!$A$2:$A$200=12)*(데이터!$B$2:$B$200=5)*데이터!$D$2:$D$200),"")</f>
        <v/>
      </c>
      <c r="E74" s="12">
        <f>SUMPRODUCT((데이터!$A$2:$A$200=12)*(데이터!$B$2:$B$200=5)*데이터!$E$2:$E$200)</f>
        <v/>
      </c>
      <c r="F74" s="12">
        <f>SUMPRODUCT((데이터!$A$2:$A$200=12)*(데이터!$B$2:$B$200=5)*데이터!$F$2:$F$200)</f>
        <v/>
      </c>
      <c r="G74" s="12">
        <f>IF(E74=0,"",E74+F74)</f>
        <v/>
      </c>
      <c r="H74" s="12">
        <f>IF(E74=0,"",E74*0.15)</f>
        <v/>
      </c>
      <c r="I74" s="12">
        <f>IF(E74=0,"",F74*0.13)</f>
        <v/>
      </c>
      <c r="J74" s="12">
        <f>IF(E74=0,"",H74+I74)</f>
        <v/>
      </c>
      <c r="K74" s="12">
        <f>IF(E74=0,"",J74*0.1)</f>
        <v/>
      </c>
      <c r="L74" s="12">
        <f>IF(AND(E74&lt;&gt;0,B74=4),3000000,0)</f>
        <v/>
      </c>
      <c r="M74" s="12">
        <f>IF(L74=0,0,L74*0.1)</f>
        <v/>
      </c>
      <c r="N74" s="12">
        <f>IF(AND(E74&lt;&gt;0,B74=4),120900,0)</f>
        <v/>
      </c>
      <c r="O74" s="12">
        <f>(SUMPRODUCT((데이터!$A$2:$A$200=12)*(데이터!$B$2:$B$200=5)*데이터!$G$2:$G$200)+SUMPRODUCT((데이터!$A$2:$A$200=12)*(데이터!$B$2:$B$200=5)*데이터!$H$2:$H$200)+SUMPRODUCT((데이터!$A$2:$A$200=12)*(데이터!$B$2:$B$200=5)*데이터!$I$2:$I$200))*0.95</f>
        <v/>
      </c>
      <c r="P74" s="12">
        <f>SUMPRODUCT((데이터!$A$2:$A$200=12)*(데이터!$B$2:$B$200=5)*데이터!$J$2:$J$200)+SUMPRODUCT((데이터!$A$2:$A$200=12)*(데이터!$B$2:$B$200=5)*데이터!$K$2:$K$200)*0.05+SUMPRODUCT((데이터!$A$2:$A$200=12)*(데이터!$B$2:$B$200=5)*데이터!$L$2:$L$200)</f>
        <v/>
      </c>
      <c r="Q74" s="12">
        <f>IF(E74=0,"",J74+K74+L74+M74+N74+O74+P74)</f>
        <v/>
      </c>
      <c r="R74" s="12">
        <f>IF(E74=0,"",E74-Q74)</f>
        <v/>
      </c>
      <c r="S74" s="12">
        <f>IF(E74=0,"",F74-I74-I74*0.1)</f>
        <v/>
      </c>
      <c r="T74" s="24">
        <f>IFERROR(INDEX(데이터!$M$2:$M$200,MATCH(1,(데이터!$A$2:$A$200=12)*(데이터!$B$2:$B$200=5),0)),"")</f>
        <v/>
      </c>
    </row>
    <row r="75">
      <c r="A75" s="25" t="inlineStr">
        <is>
          <t>12월</t>
        </is>
      </c>
      <c r="B75" s="25" t="inlineStr">
        <is>
          <t>소계</t>
        </is>
      </c>
      <c r="C75" s="26" t="n"/>
      <c r="D75" s="26" t="n"/>
      <c r="E75" s="27">
        <f>SUM(E70:E74)</f>
        <v/>
      </c>
      <c r="F75" s="27">
        <f>SUM(F70:F74)</f>
        <v/>
      </c>
      <c r="G75" s="27">
        <f>SUM(G70:G74)</f>
        <v/>
      </c>
      <c r="H75" s="27">
        <f>SUM(H70:H74)</f>
        <v/>
      </c>
      <c r="I75" s="27">
        <f>SUM(I70:I74)</f>
        <v/>
      </c>
      <c r="J75" s="27">
        <f>SUM(J70:J74)</f>
        <v/>
      </c>
      <c r="K75" s="27">
        <f>SUM(K70:K74)</f>
        <v/>
      </c>
      <c r="L75" s="27">
        <f>SUM(L70:L74)</f>
        <v/>
      </c>
      <c r="M75" s="27">
        <f>SUM(M70:M74)</f>
        <v/>
      </c>
      <c r="N75" s="27">
        <f>SUM(N70:N74)</f>
        <v/>
      </c>
      <c r="O75" s="27">
        <f>SUM(O70:O74)</f>
        <v/>
      </c>
      <c r="P75" s="27">
        <f>SUM(P70:P74)</f>
        <v/>
      </c>
      <c r="Q75" s="27">
        <f>SUM(Q70:Q74)</f>
        <v/>
      </c>
      <c r="R75" s="27">
        <f>SUM(R70:R74)</f>
        <v/>
      </c>
      <c r="S75" s="27">
        <f>SUM(S70:S74)</f>
        <v/>
      </c>
      <c r="T75" s="26" t="n"/>
    </row>
    <row r="76">
      <c r="A76" s="28" t="inlineStr">
        <is>
          <t>연간</t>
        </is>
      </c>
      <c r="B76" s="28" t="inlineStr">
        <is>
          <t>합계</t>
        </is>
      </c>
      <c r="C76" s="29" t="n"/>
      <c r="D76" s="29" t="n"/>
      <c r="E76" s="30">
        <f>E9+E15+E21+E27+E33+E39+E45+E51+E57+E63+E69+E75</f>
        <v/>
      </c>
      <c r="F76" s="30">
        <f>F9+F15+F21+F27+F33+F39+F45+F51+F57+F63+F69+F75</f>
        <v/>
      </c>
      <c r="G76" s="30">
        <f>G9+G15+G21+G27+G33+G39+G45+G51+G57+G63+G69+G75</f>
        <v/>
      </c>
      <c r="H76" s="30">
        <f>H9+H15+H21+H27+H33+H39+H45+H51+H57+H63+H69+H75</f>
        <v/>
      </c>
      <c r="I76" s="30">
        <f>I9+I15+I21+I27+I33+I39+I45+I51+I57+I63+I69+I75</f>
        <v/>
      </c>
      <c r="J76" s="30">
        <f>J9+J15+J21+J27+J33+J39+J45+J51+J57+J63+J69+J75</f>
        <v/>
      </c>
      <c r="K76" s="30">
        <f>K9+K15+K21+K27+K33+K39+K45+K51+K57+K63+K69+K75</f>
        <v/>
      </c>
      <c r="L76" s="30">
        <f>L9+L15+L21+L27+L33+L39+L45+L51+L57+L63+L69+L75</f>
        <v/>
      </c>
      <c r="M76" s="30">
        <f>M9+M15+M21+M27+M33+M39+M45+M51+M57+M63+M69+M75</f>
        <v/>
      </c>
      <c r="N76" s="30">
        <f>N9+N15+N21+N27+N33+N39+N45+N51+N57+N63+N69+N75</f>
        <v/>
      </c>
      <c r="O76" s="30">
        <f>O9+O15+O21+O27+O33+O39+O45+O51+O57+O63+O69+O75</f>
        <v/>
      </c>
      <c r="P76" s="30">
        <f>P9+P15+P21+P27+P33+P39+P45+P51+P57+P63+P69+P75</f>
        <v/>
      </c>
      <c r="Q76" s="30">
        <f>Q9+Q15+Q21+Q27+Q33+Q39+Q45+Q51+Q57+Q63+Q69+Q75</f>
        <v/>
      </c>
      <c r="R76" s="30">
        <f>R9+R15+R21+R27+R33+R39+R45+R51+R57+R63+R69+R75</f>
        <v/>
      </c>
      <c r="S76" s="30">
        <f>S9+S15+S21+S27+S33+S39+S45+S51+S57+S63+S69+S75</f>
        <v/>
      </c>
      <c r="T76" s="29" t="n"/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22" t="inlineStr">
        <is>
          <t>미식가의 주방 — 경영 대시보드 (2026년)</t>
        </is>
      </c>
    </row>
    <row r="2">
      <c r="M2" s="31" t="inlineStr">
        <is>
          <t>현재월 →</t>
        </is>
      </c>
      <c r="N2" s="32" t="n">
        <v>3</v>
      </c>
    </row>
    <row r="3">
      <c r="B3" s="33" t="inlineStr">
        <is>
          <t>이번달 총매출</t>
        </is>
      </c>
      <c r="C3" s="34" t="n"/>
      <c r="E3" s="33" t="inlineStr">
        <is>
          <t>이번달 수수료수익</t>
        </is>
      </c>
      <c r="F3" s="34" t="n"/>
      <c r="H3" s="33" t="inlineStr">
        <is>
          <t>이번달 임대수익</t>
        </is>
      </c>
      <c r="I3" s="34" t="n"/>
      <c r="K3" s="33" t="inlineStr">
        <is>
          <t>연간 누적매출</t>
        </is>
      </c>
      <c r="L3" s="34" t="n"/>
    </row>
    <row r="4">
      <c r="B4" s="35">
        <f>INDEX(D9:D20,N2)</f>
        <v/>
      </c>
      <c r="C4" s="34" t="n"/>
      <c r="E4" s="35">
        <f>INDEX(G9:G20,N2)</f>
        <v/>
      </c>
      <c r="F4" s="34" t="n"/>
      <c r="H4" s="35">
        <f>INDEX(H9:H20,N2)+INDEX(I9:I20,N2)</f>
        <v/>
      </c>
      <c r="I4" s="34" t="n"/>
      <c r="K4" s="35">
        <f>D21</f>
        <v/>
      </c>
      <c r="L4" s="34" t="n"/>
    </row>
    <row r="7">
      <c r="A7" s="36" t="inlineStr">
        <is>
          <t>📊 월별 정산 요약</t>
        </is>
      </c>
    </row>
    <row r="8">
      <c r="A8" s="19" t="inlineStr">
        <is>
          <t>월</t>
        </is>
      </c>
      <c r="B8" s="19" t="inlineStr">
        <is>
          <t>카드매출</t>
        </is>
      </c>
      <c r="C8" s="19" t="inlineStr">
        <is>
          <t>현금매출</t>
        </is>
      </c>
      <c r="D8" s="19" t="inlineStr">
        <is>
          <t>총매출</t>
        </is>
      </c>
      <c r="E8" s="19" t="inlineStr">
        <is>
          <t>카드수수료</t>
        </is>
      </c>
      <c r="F8" s="19" t="inlineStr">
        <is>
          <t>현금수수료</t>
        </is>
      </c>
      <c r="G8" s="19" t="inlineStr">
        <is>
          <t>수수료합계</t>
        </is>
      </c>
      <c r="H8" s="19" t="inlineStr">
        <is>
          <t>임대료</t>
        </is>
      </c>
      <c r="I8" s="19" t="inlineStr">
        <is>
          <t>관리비</t>
        </is>
      </c>
      <c r="J8" s="19" t="inlineStr">
        <is>
          <t>공과금</t>
        </is>
      </c>
      <c r="K8" s="19" t="inlineStr">
        <is>
          <t>총차감</t>
        </is>
      </c>
      <c r="L8" s="19" t="inlineStr">
        <is>
          <t>미식가지급</t>
        </is>
      </c>
      <c r="M8" s="19" t="inlineStr">
        <is>
          <t>현금수령</t>
        </is>
      </c>
    </row>
    <row r="9">
      <c r="A9" s="37" t="inlineStr">
        <is>
          <t>1월</t>
        </is>
      </c>
      <c r="B9" s="21">
        <f>'정산 요약'!E9</f>
        <v/>
      </c>
      <c r="C9" s="21">
        <f>'정산 요약'!F9</f>
        <v/>
      </c>
      <c r="D9" s="21">
        <f>'정산 요약'!G9</f>
        <v/>
      </c>
      <c r="E9" s="21">
        <f>'정산 요약'!H9</f>
        <v/>
      </c>
      <c r="F9" s="21">
        <f>'정산 요약'!I9</f>
        <v/>
      </c>
      <c r="G9" s="21">
        <f>'정산 요약'!J9</f>
        <v/>
      </c>
      <c r="H9" s="21">
        <f>'정산 요약'!L9</f>
        <v/>
      </c>
      <c r="I9" s="21">
        <f>'정산 요약'!N9</f>
        <v/>
      </c>
      <c r="J9" s="21">
        <f>'정산 요약'!O9</f>
        <v/>
      </c>
      <c r="K9" s="38">
        <f>'정산 요약'!Q9</f>
        <v/>
      </c>
      <c r="L9" s="38">
        <f>'정산 요약'!R9</f>
        <v/>
      </c>
      <c r="M9" s="21">
        <f>'정산 요약'!S9</f>
        <v/>
      </c>
    </row>
    <row r="10">
      <c r="A10" s="37" t="inlineStr">
        <is>
          <t>2월</t>
        </is>
      </c>
      <c r="B10" s="21">
        <f>'정산 요약'!E15</f>
        <v/>
      </c>
      <c r="C10" s="21">
        <f>'정산 요약'!F15</f>
        <v/>
      </c>
      <c r="D10" s="21">
        <f>'정산 요약'!G15</f>
        <v/>
      </c>
      <c r="E10" s="21">
        <f>'정산 요약'!H15</f>
        <v/>
      </c>
      <c r="F10" s="21">
        <f>'정산 요약'!I15</f>
        <v/>
      </c>
      <c r="G10" s="21">
        <f>'정산 요약'!J15</f>
        <v/>
      </c>
      <c r="H10" s="21">
        <f>'정산 요약'!L15</f>
        <v/>
      </c>
      <c r="I10" s="21">
        <f>'정산 요약'!N15</f>
        <v/>
      </c>
      <c r="J10" s="21">
        <f>'정산 요약'!O15</f>
        <v/>
      </c>
      <c r="K10" s="38">
        <f>'정산 요약'!Q15</f>
        <v/>
      </c>
      <c r="L10" s="38">
        <f>'정산 요약'!R15</f>
        <v/>
      </c>
      <c r="M10" s="21">
        <f>'정산 요약'!S15</f>
        <v/>
      </c>
    </row>
    <row r="11">
      <c r="A11" s="37" t="inlineStr">
        <is>
          <t>3월</t>
        </is>
      </c>
      <c r="B11" s="21">
        <f>'정산 요약'!E21</f>
        <v/>
      </c>
      <c r="C11" s="21">
        <f>'정산 요약'!F21</f>
        <v/>
      </c>
      <c r="D11" s="21">
        <f>'정산 요약'!G21</f>
        <v/>
      </c>
      <c r="E11" s="21">
        <f>'정산 요약'!H21</f>
        <v/>
      </c>
      <c r="F11" s="21">
        <f>'정산 요약'!I21</f>
        <v/>
      </c>
      <c r="G11" s="21">
        <f>'정산 요약'!J21</f>
        <v/>
      </c>
      <c r="H11" s="21">
        <f>'정산 요약'!L21</f>
        <v/>
      </c>
      <c r="I11" s="21">
        <f>'정산 요약'!N21</f>
        <v/>
      </c>
      <c r="J11" s="21">
        <f>'정산 요약'!O21</f>
        <v/>
      </c>
      <c r="K11" s="38">
        <f>'정산 요약'!Q21</f>
        <v/>
      </c>
      <c r="L11" s="38">
        <f>'정산 요약'!R21</f>
        <v/>
      </c>
      <c r="M11" s="21">
        <f>'정산 요약'!S21</f>
        <v/>
      </c>
    </row>
    <row r="12">
      <c r="A12" s="37" t="inlineStr">
        <is>
          <t>4월</t>
        </is>
      </c>
      <c r="B12" s="21">
        <f>'정산 요약'!E27</f>
        <v/>
      </c>
      <c r="C12" s="21">
        <f>'정산 요약'!F27</f>
        <v/>
      </c>
      <c r="D12" s="21">
        <f>'정산 요약'!G27</f>
        <v/>
      </c>
      <c r="E12" s="21">
        <f>'정산 요약'!H27</f>
        <v/>
      </c>
      <c r="F12" s="21">
        <f>'정산 요약'!I27</f>
        <v/>
      </c>
      <c r="G12" s="21">
        <f>'정산 요약'!J27</f>
        <v/>
      </c>
      <c r="H12" s="21">
        <f>'정산 요약'!L27</f>
        <v/>
      </c>
      <c r="I12" s="21">
        <f>'정산 요약'!N27</f>
        <v/>
      </c>
      <c r="J12" s="21">
        <f>'정산 요약'!O27</f>
        <v/>
      </c>
      <c r="K12" s="38">
        <f>'정산 요약'!Q27</f>
        <v/>
      </c>
      <c r="L12" s="38">
        <f>'정산 요약'!R27</f>
        <v/>
      </c>
      <c r="M12" s="21">
        <f>'정산 요약'!S27</f>
        <v/>
      </c>
    </row>
    <row r="13">
      <c r="A13" s="37" t="inlineStr">
        <is>
          <t>5월</t>
        </is>
      </c>
      <c r="B13" s="21">
        <f>'정산 요약'!E33</f>
        <v/>
      </c>
      <c r="C13" s="21">
        <f>'정산 요약'!F33</f>
        <v/>
      </c>
      <c r="D13" s="21">
        <f>'정산 요약'!G33</f>
        <v/>
      </c>
      <c r="E13" s="21">
        <f>'정산 요약'!H33</f>
        <v/>
      </c>
      <c r="F13" s="21">
        <f>'정산 요약'!I33</f>
        <v/>
      </c>
      <c r="G13" s="21">
        <f>'정산 요약'!J33</f>
        <v/>
      </c>
      <c r="H13" s="21">
        <f>'정산 요약'!L33</f>
        <v/>
      </c>
      <c r="I13" s="21">
        <f>'정산 요약'!N33</f>
        <v/>
      </c>
      <c r="J13" s="21">
        <f>'정산 요약'!O33</f>
        <v/>
      </c>
      <c r="K13" s="38">
        <f>'정산 요약'!Q33</f>
        <v/>
      </c>
      <c r="L13" s="38">
        <f>'정산 요약'!R33</f>
        <v/>
      </c>
      <c r="M13" s="21">
        <f>'정산 요약'!S33</f>
        <v/>
      </c>
    </row>
    <row r="14">
      <c r="A14" s="37" t="inlineStr">
        <is>
          <t>6월</t>
        </is>
      </c>
      <c r="B14" s="21">
        <f>'정산 요약'!E39</f>
        <v/>
      </c>
      <c r="C14" s="21">
        <f>'정산 요약'!F39</f>
        <v/>
      </c>
      <c r="D14" s="21">
        <f>'정산 요약'!G39</f>
        <v/>
      </c>
      <c r="E14" s="21">
        <f>'정산 요약'!H39</f>
        <v/>
      </c>
      <c r="F14" s="21">
        <f>'정산 요약'!I39</f>
        <v/>
      </c>
      <c r="G14" s="21">
        <f>'정산 요약'!J39</f>
        <v/>
      </c>
      <c r="H14" s="21">
        <f>'정산 요약'!L39</f>
        <v/>
      </c>
      <c r="I14" s="21">
        <f>'정산 요약'!N39</f>
        <v/>
      </c>
      <c r="J14" s="21">
        <f>'정산 요약'!O39</f>
        <v/>
      </c>
      <c r="K14" s="38">
        <f>'정산 요약'!Q39</f>
        <v/>
      </c>
      <c r="L14" s="38">
        <f>'정산 요약'!R39</f>
        <v/>
      </c>
      <c r="M14" s="21">
        <f>'정산 요약'!S39</f>
        <v/>
      </c>
    </row>
    <row r="15">
      <c r="A15" s="37" t="inlineStr">
        <is>
          <t>7월</t>
        </is>
      </c>
      <c r="B15" s="21">
        <f>'정산 요약'!E45</f>
        <v/>
      </c>
      <c r="C15" s="21">
        <f>'정산 요약'!F45</f>
        <v/>
      </c>
      <c r="D15" s="21">
        <f>'정산 요약'!G45</f>
        <v/>
      </c>
      <c r="E15" s="21">
        <f>'정산 요약'!H45</f>
        <v/>
      </c>
      <c r="F15" s="21">
        <f>'정산 요약'!I45</f>
        <v/>
      </c>
      <c r="G15" s="21">
        <f>'정산 요약'!J45</f>
        <v/>
      </c>
      <c r="H15" s="21">
        <f>'정산 요약'!L45</f>
        <v/>
      </c>
      <c r="I15" s="21">
        <f>'정산 요약'!N45</f>
        <v/>
      </c>
      <c r="J15" s="21">
        <f>'정산 요약'!O45</f>
        <v/>
      </c>
      <c r="K15" s="38">
        <f>'정산 요약'!Q45</f>
        <v/>
      </c>
      <c r="L15" s="38">
        <f>'정산 요약'!R45</f>
        <v/>
      </c>
      <c r="M15" s="21">
        <f>'정산 요약'!S45</f>
        <v/>
      </c>
    </row>
    <row r="16">
      <c r="A16" s="37" t="inlineStr">
        <is>
          <t>8월</t>
        </is>
      </c>
      <c r="B16" s="21">
        <f>'정산 요약'!E51</f>
        <v/>
      </c>
      <c r="C16" s="21">
        <f>'정산 요약'!F51</f>
        <v/>
      </c>
      <c r="D16" s="21">
        <f>'정산 요약'!G51</f>
        <v/>
      </c>
      <c r="E16" s="21">
        <f>'정산 요약'!H51</f>
        <v/>
      </c>
      <c r="F16" s="21">
        <f>'정산 요약'!I51</f>
        <v/>
      </c>
      <c r="G16" s="21">
        <f>'정산 요약'!J51</f>
        <v/>
      </c>
      <c r="H16" s="21">
        <f>'정산 요약'!L51</f>
        <v/>
      </c>
      <c r="I16" s="21">
        <f>'정산 요약'!N51</f>
        <v/>
      </c>
      <c r="J16" s="21">
        <f>'정산 요약'!O51</f>
        <v/>
      </c>
      <c r="K16" s="38">
        <f>'정산 요약'!Q51</f>
        <v/>
      </c>
      <c r="L16" s="38">
        <f>'정산 요약'!R51</f>
        <v/>
      </c>
      <c r="M16" s="21">
        <f>'정산 요약'!S51</f>
        <v/>
      </c>
    </row>
    <row r="17">
      <c r="A17" s="37" t="inlineStr">
        <is>
          <t>9월</t>
        </is>
      </c>
      <c r="B17" s="21">
        <f>'정산 요약'!E57</f>
        <v/>
      </c>
      <c r="C17" s="21">
        <f>'정산 요약'!F57</f>
        <v/>
      </c>
      <c r="D17" s="21">
        <f>'정산 요약'!G57</f>
        <v/>
      </c>
      <c r="E17" s="21">
        <f>'정산 요약'!H57</f>
        <v/>
      </c>
      <c r="F17" s="21">
        <f>'정산 요약'!I57</f>
        <v/>
      </c>
      <c r="G17" s="21">
        <f>'정산 요약'!J57</f>
        <v/>
      </c>
      <c r="H17" s="21">
        <f>'정산 요약'!L57</f>
        <v/>
      </c>
      <c r="I17" s="21">
        <f>'정산 요약'!N57</f>
        <v/>
      </c>
      <c r="J17" s="21">
        <f>'정산 요약'!O57</f>
        <v/>
      </c>
      <c r="K17" s="38">
        <f>'정산 요약'!Q57</f>
        <v/>
      </c>
      <c r="L17" s="38">
        <f>'정산 요약'!R57</f>
        <v/>
      </c>
      <c r="M17" s="21">
        <f>'정산 요약'!S57</f>
        <v/>
      </c>
    </row>
    <row r="18">
      <c r="A18" s="37" t="inlineStr">
        <is>
          <t>10월</t>
        </is>
      </c>
      <c r="B18" s="21">
        <f>'정산 요약'!E63</f>
        <v/>
      </c>
      <c r="C18" s="21">
        <f>'정산 요약'!F63</f>
        <v/>
      </c>
      <c r="D18" s="21">
        <f>'정산 요약'!G63</f>
        <v/>
      </c>
      <c r="E18" s="21">
        <f>'정산 요약'!H63</f>
        <v/>
      </c>
      <c r="F18" s="21">
        <f>'정산 요약'!I63</f>
        <v/>
      </c>
      <c r="G18" s="21">
        <f>'정산 요약'!J63</f>
        <v/>
      </c>
      <c r="H18" s="21">
        <f>'정산 요약'!L63</f>
        <v/>
      </c>
      <c r="I18" s="21">
        <f>'정산 요약'!N63</f>
        <v/>
      </c>
      <c r="J18" s="21">
        <f>'정산 요약'!O63</f>
        <v/>
      </c>
      <c r="K18" s="38">
        <f>'정산 요약'!Q63</f>
        <v/>
      </c>
      <c r="L18" s="38">
        <f>'정산 요약'!R63</f>
        <v/>
      </c>
      <c r="M18" s="21">
        <f>'정산 요약'!S63</f>
        <v/>
      </c>
    </row>
    <row r="19">
      <c r="A19" s="37" t="inlineStr">
        <is>
          <t>11월</t>
        </is>
      </c>
      <c r="B19" s="21">
        <f>'정산 요약'!E69</f>
        <v/>
      </c>
      <c r="C19" s="21">
        <f>'정산 요약'!F69</f>
        <v/>
      </c>
      <c r="D19" s="21">
        <f>'정산 요약'!G69</f>
        <v/>
      </c>
      <c r="E19" s="21">
        <f>'정산 요약'!H69</f>
        <v/>
      </c>
      <c r="F19" s="21">
        <f>'정산 요약'!I69</f>
        <v/>
      </c>
      <c r="G19" s="21">
        <f>'정산 요약'!J69</f>
        <v/>
      </c>
      <c r="H19" s="21">
        <f>'정산 요약'!L69</f>
        <v/>
      </c>
      <c r="I19" s="21">
        <f>'정산 요약'!N69</f>
        <v/>
      </c>
      <c r="J19" s="21">
        <f>'정산 요약'!O69</f>
        <v/>
      </c>
      <c r="K19" s="38">
        <f>'정산 요약'!Q69</f>
        <v/>
      </c>
      <c r="L19" s="38">
        <f>'정산 요약'!R69</f>
        <v/>
      </c>
      <c r="M19" s="21">
        <f>'정산 요약'!S69</f>
        <v/>
      </c>
    </row>
    <row r="20">
      <c r="A20" s="37" t="inlineStr">
        <is>
          <t>12월</t>
        </is>
      </c>
      <c r="B20" s="21">
        <f>'정산 요약'!E75</f>
        <v/>
      </c>
      <c r="C20" s="21">
        <f>'정산 요약'!F75</f>
        <v/>
      </c>
      <c r="D20" s="21">
        <f>'정산 요약'!G75</f>
        <v/>
      </c>
      <c r="E20" s="21">
        <f>'정산 요약'!H75</f>
        <v/>
      </c>
      <c r="F20" s="21">
        <f>'정산 요약'!I75</f>
        <v/>
      </c>
      <c r="G20" s="21">
        <f>'정산 요약'!J75</f>
        <v/>
      </c>
      <c r="H20" s="21">
        <f>'정산 요약'!L75</f>
        <v/>
      </c>
      <c r="I20" s="21">
        <f>'정산 요약'!N75</f>
        <v/>
      </c>
      <c r="J20" s="21">
        <f>'정산 요약'!O75</f>
        <v/>
      </c>
      <c r="K20" s="38">
        <f>'정산 요약'!Q75</f>
        <v/>
      </c>
      <c r="L20" s="38">
        <f>'정산 요약'!R75</f>
        <v/>
      </c>
      <c r="M20" s="21">
        <f>'정산 요약'!S75</f>
        <v/>
      </c>
    </row>
    <row r="21">
      <c r="A21" s="28" t="inlineStr">
        <is>
          <t>합계</t>
        </is>
      </c>
      <c r="B21" s="30">
        <f>SUM(B9:B20)</f>
        <v/>
      </c>
      <c r="C21" s="30">
        <f>SUM(C9:C20)</f>
        <v/>
      </c>
      <c r="D21" s="30">
        <f>SUM(D9:D20)</f>
        <v/>
      </c>
      <c r="E21" s="30">
        <f>SUM(E9:E20)</f>
        <v/>
      </c>
      <c r="F21" s="30">
        <f>SUM(F9:F20)</f>
        <v/>
      </c>
      <c r="G21" s="30">
        <f>SUM(G9:G20)</f>
        <v/>
      </c>
      <c r="H21" s="30">
        <f>SUM(H9:H20)</f>
        <v/>
      </c>
      <c r="I21" s="30">
        <f>SUM(I9:I20)</f>
        <v/>
      </c>
      <c r="J21" s="30">
        <f>SUM(J9:J20)</f>
        <v/>
      </c>
      <c r="K21" s="30">
        <f>SUM(K9:K20)</f>
        <v/>
      </c>
      <c r="L21" s="30">
        <f>SUM(L9:L20)</f>
        <v/>
      </c>
      <c r="M21" s="30">
        <f>SUM(M9:M20)</f>
        <v/>
      </c>
    </row>
    <row r="40">
      <c r="A40" s="39" t="inlineStr">
        <is>
          <t>수익 구성 데이터</t>
        </is>
      </c>
    </row>
    <row r="41">
      <c r="A41" t="inlineStr">
        <is>
          <t>카드수수료</t>
        </is>
      </c>
      <c r="B41" s="40">
        <f>E21</f>
        <v/>
      </c>
    </row>
    <row r="42">
      <c r="A42" t="inlineStr">
        <is>
          <t>현금수수료</t>
        </is>
      </c>
      <c r="B42" s="40">
        <f>F21</f>
        <v/>
      </c>
    </row>
    <row r="43">
      <c r="A43" t="inlineStr">
        <is>
          <t>임대료</t>
        </is>
      </c>
      <c r="B43" s="40">
        <f>H21</f>
        <v/>
      </c>
    </row>
    <row r="44">
      <c r="A44" t="inlineStr">
        <is>
          <t>관리비</t>
        </is>
      </c>
      <c r="B44" s="40">
        <f>I21</f>
        <v/>
      </c>
    </row>
    <row r="45">
      <c r="A45" t="inlineStr">
        <is>
          <t>공과금</t>
        </is>
      </c>
      <c r="B45" s="40">
        <f>J21</f>
        <v/>
      </c>
    </row>
  </sheetData>
  <mergeCells count="10">
    <mergeCell ref="E4:F4"/>
    <mergeCell ref="A1:M1"/>
    <mergeCell ref="B3:C3"/>
    <mergeCell ref="H4:I4"/>
    <mergeCell ref="A7:M7"/>
    <mergeCell ref="K4:L4"/>
    <mergeCell ref="B4:C4"/>
    <mergeCell ref="E3:F3"/>
    <mergeCell ref="K3:L3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44336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25" customWidth="1" min="8" max="8"/>
  </cols>
  <sheetData>
    <row r="1">
      <c r="A1" s="22" t="inlineStr">
        <is>
          <t>미식가의 주방 — 미수금 관리</t>
        </is>
      </c>
    </row>
    <row r="2">
      <c r="A2" s="2" t="inlineStr">
        <is>
          <t>기존 미수금 현황 + 상환 계획</t>
        </is>
      </c>
    </row>
    <row r="3">
      <c r="A3" s="19" t="inlineStr">
        <is>
          <t>#</t>
        </is>
      </c>
      <c r="B3" s="19" t="inlineStr">
        <is>
          <t>항목</t>
        </is>
      </c>
      <c r="C3" s="19" t="inlineStr">
        <is>
          <t>원금</t>
        </is>
      </c>
      <c r="D3" s="19" t="inlineStr">
        <is>
          <t>차감 누적</t>
        </is>
      </c>
      <c r="E3" s="19" t="inlineStr">
        <is>
          <t>잔액</t>
        </is>
      </c>
      <c r="F3" s="19" t="inlineStr">
        <is>
          <t>이자</t>
        </is>
      </c>
      <c r="G3" s="19" t="inlineStr">
        <is>
          <t>상태</t>
        </is>
      </c>
      <c r="H3" s="19" t="inlineStr">
        <is>
          <t>비고</t>
        </is>
      </c>
    </row>
    <row r="4">
      <c r="A4" s="34" t="n">
        <v>1</v>
      </c>
      <c r="B4" s="34" t="inlineStr">
        <is>
          <t>공과금 미수</t>
        </is>
      </c>
      <c r="C4" s="21" t="n">
        <v>26480630</v>
      </c>
      <c r="D4" s="41" t="inlineStr"/>
      <c r="E4" s="21">
        <f>C4-IF(D4="",0,D4)</f>
        <v/>
      </c>
      <c r="F4" s="21" t="inlineStr"/>
      <c r="G4" s="34" t="inlineStr">
        <is>
          <t>미수</t>
        </is>
      </c>
      <c r="H4" s="34" t="inlineStr">
        <is>
          <t>2024.4~2025.12 누적</t>
        </is>
      </c>
    </row>
    <row r="5">
      <c r="A5" s="34" t="n">
        <v>2</v>
      </c>
      <c r="B5" s="34" t="inlineStr">
        <is>
          <t>임대료 미수</t>
        </is>
      </c>
      <c r="C5" s="21" t="n">
        <v>6600000</v>
      </c>
      <c r="D5" s="41" t="inlineStr"/>
      <c r="E5" s="21">
        <f>C5-IF(D5="",0,D5)</f>
        <v/>
      </c>
      <c r="F5" s="21" t="inlineStr"/>
      <c r="G5" s="34" t="inlineStr">
        <is>
          <t>미수</t>
        </is>
      </c>
      <c r="H5" s="34" t="inlineStr"/>
    </row>
    <row r="6">
      <c r="A6" s="34" t="n">
        <v>3</v>
      </c>
      <c r="B6" s="34" t="inlineStr">
        <is>
          <t>현금매출 수수료 미수</t>
        </is>
      </c>
      <c r="C6" s="21" t="n">
        <v>2303154</v>
      </c>
      <c r="D6" s="41" t="inlineStr"/>
      <c r="E6" s="21">
        <f>C6-IF(D6="",0,D6)</f>
        <v/>
      </c>
      <c r="F6" s="21" t="inlineStr"/>
      <c r="G6" s="34" t="inlineStr">
        <is>
          <t>미수</t>
        </is>
      </c>
      <c r="H6" s="34" t="inlineStr"/>
    </row>
    <row r="7">
      <c r="A7" s="34" t="n">
        <v>4</v>
      </c>
      <c r="B7" s="34" t="inlineStr">
        <is>
          <t>관리비 미수</t>
        </is>
      </c>
      <c r="C7" s="21" t="n">
        <v>2123763</v>
      </c>
      <c r="D7" s="41" t="inlineStr"/>
      <c r="E7" s="21">
        <f>C7-IF(D7="",0,D7)</f>
        <v/>
      </c>
      <c r="F7" s="21" t="inlineStr"/>
      <c r="G7" s="34" t="inlineStr">
        <is>
          <t>미수</t>
        </is>
      </c>
      <c r="H7" s="34" t="inlineStr"/>
    </row>
    <row r="8">
      <c r="A8" s="34" t="n">
        <v>5</v>
      </c>
      <c r="B8" s="34" t="inlineStr">
        <is>
          <t>정수기 임대료 미수</t>
        </is>
      </c>
      <c r="C8" s="21" t="n">
        <v>333900</v>
      </c>
      <c r="D8" s="41" t="inlineStr"/>
      <c r="E8" s="21">
        <f>C8-IF(D8="",0,D8)</f>
        <v/>
      </c>
      <c r="F8" s="21" t="inlineStr"/>
      <c r="G8" s="34" t="inlineStr">
        <is>
          <t>미수</t>
        </is>
      </c>
      <c r="H8" s="34" t="inlineStr"/>
    </row>
    <row r="9">
      <c r="A9" s="34" t="n">
        <v>6</v>
      </c>
      <c r="B9" s="34" t="inlineStr">
        <is>
          <t>이자 (연 10%)</t>
        </is>
      </c>
      <c r="C9" s="21" t="n">
        <v>2766151</v>
      </c>
      <c r="D9" s="41" t="inlineStr"/>
      <c r="E9" s="21">
        <f>C9-IF(D9="",0,D9)</f>
        <v/>
      </c>
      <c r="F9" s="21" t="inlineStr"/>
      <c r="G9" s="34" t="inlineStr">
        <is>
          <t>미수</t>
        </is>
      </c>
      <c r="H9" s="34" t="inlineStr">
        <is>
          <t>지연이자율 연 10%</t>
        </is>
      </c>
    </row>
    <row r="10">
      <c r="A10" s="26" t="n"/>
      <c r="B10" s="26" t="inlineStr">
        <is>
          <t>합계</t>
        </is>
      </c>
      <c r="C10" s="27">
        <f>SUM(C4:C9)</f>
        <v/>
      </c>
      <c r="D10" s="27">
        <f>SUM(D4:D9)</f>
        <v/>
      </c>
      <c r="E10" s="27">
        <f>SUM(E4:E9)</f>
        <v/>
      </c>
      <c r="F10" s="27">
        <f>SUM(F4:F9)</f>
        <v/>
      </c>
      <c r="G10" s="26" t="n"/>
      <c r="H10" s="26" t="n"/>
    </row>
    <row r="12">
      <c r="A12" s="36" t="inlineStr">
        <is>
          <t>📋 미수금 차감 계획</t>
        </is>
      </c>
    </row>
    <row r="13">
      <c r="A13" s="42" t="inlineStr">
        <is>
          <t>#</t>
        </is>
      </c>
      <c r="B13" s="42" t="inlineStr">
        <is>
          <t>회차</t>
        </is>
      </c>
      <c r="C13" s="42" t="inlineStr">
        <is>
          <t>예정일</t>
        </is>
      </c>
      <c r="D13" s="42" t="inlineStr">
        <is>
          <t>차감금액</t>
        </is>
      </c>
      <c r="E13" s="42" t="inlineStr">
        <is>
          <t>차감 후 잔액</t>
        </is>
      </c>
      <c r="F13" s="42" t="inlineStr"/>
      <c r="G13" s="42" t="inlineStr"/>
      <c r="H13" s="42" t="inlineStr">
        <is>
          <t>비고</t>
        </is>
      </c>
    </row>
    <row r="14">
      <c r="A14" s="34" t="n">
        <v>1</v>
      </c>
      <c r="B14" s="34" t="inlineStr">
        <is>
          <t>1회차</t>
        </is>
      </c>
      <c r="C14" s="34" t="inlineStr">
        <is>
          <t>2026-03-02</t>
        </is>
      </c>
      <c r="D14" s="41" t="n">
        <v>6000000</v>
      </c>
      <c r="E14" s="21">
        <f>E10-D14</f>
        <v/>
      </c>
    </row>
    <row r="15">
      <c r="A15" s="34" t="n">
        <v>2</v>
      </c>
      <c r="B15" s="34" t="inlineStr">
        <is>
          <t>2회차</t>
        </is>
      </c>
      <c r="C15" s="34" t="inlineStr">
        <is>
          <t>2026-03-09</t>
        </is>
      </c>
      <c r="D15" s="41" t="n">
        <v>6000000</v>
      </c>
      <c r="E15" s="21">
        <f>E14-D15</f>
        <v/>
      </c>
    </row>
    <row r="16">
      <c r="A16" s="34" t="n">
        <v>3</v>
      </c>
      <c r="B16" s="34" t="inlineStr">
        <is>
          <t>3회차</t>
        </is>
      </c>
      <c r="C16" s="34" t="inlineStr">
        <is>
          <t>2026-03-16</t>
        </is>
      </c>
      <c r="D16" s="41" t="n">
        <v>6000000</v>
      </c>
      <c r="E16" s="21">
        <f>E15-D16</f>
        <v/>
      </c>
    </row>
    <row r="17">
      <c r="A17" s="34" t="n">
        <v>4</v>
      </c>
      <c r="B17" s="34" t="inlineStr">
        <is>
          <t>4회차</t>
        </is>
      </c>
      <c r="C17" s="34" t="inlineStr">
        <is>
          <t>2026-03-23</t>
        </is>
      </c>
      <c r="D17" s="41" t="n">
        <v>6000000</v>
      </c>
      <c r="E17" s="21">
        <f>E16-D17</f>
        <v/>
      </c>
    </row>
    <row r="18">
      <c r="A18" s="34" t="n">
        <v>5</v>
      </c>
      <c r="B18" s="34" t="inlineStr">
        <is>
          <t>5회차</t>
        </is>
      </c>
      <c r="C18" s="34" t="inlineStr">
        <is>
          <t>2026-03-30</t>
        </is>
      </c>
      <c r="D18" s="41" t="n">
        <v>6000000</v>
      </c>
      <c r="E18" s="21">
        <f>E17-D18</f>
        <v/>
      </c>
    </row>
    <row r="19">
      <c r="A19" s="34" t="n">
        <v>6</v>
      </c>
      <c r="B19" s="34" t="inlineStr">
        <is>
          <t>6회차</t>
        </is>
      </c>
      <c r="C19" s="34" t="inlineStr">
        <is>
          <t>2026-04-06</t>
        </is>
      </c>
      <c r="D19" s="41" t="n">
        <v>6000000</v>
      </c>
      <c r="E19" s="21">
        <f>E18-D19</f>
        <v/>
      </c>
    </row>
    <row r="20">
      <c r="A20" s="34" t="n">
        <v>7</v>
      </c>
      <c r="B20" s="34" t="inlineStr">
        <is>
          <t>7회차</t>
        </is>
      </c>
      <c r="C20" s="34" t="inlineStr">
        <is>
          <t>2026-04-20</t>
        </is>
      </c>
      <c r="D20" s="41" t="n">
        <v>4607598</v>
      </c>
      <c r="E20" s="21">
        <f>E19-D20</f>
        <v/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57575"/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1" customWidth="1" min="4" max="4"/>
    <col width="15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6" customWidth="1" min="14" max="14"/>
  </cols>
  <sheetData>
    <row r="1">
      <c r="A1" s="43" t="inlineStr">
        <is>
          <t>월</t>
        </is>
      </c>
      <c r="B1" s="43" t="inlineStr">
        <is>
          <t>주차</t>
        </is>
      </c>
      <c r="C1" s="43" t="inlineStr">
        <is>
          <t>시작일</t>
        </is>
      </c>
      <c r="D1" s="43" t="inlineStr">
        <is>
          <t>종료일</t>
        </is>
      </c>
      <c r="E1" s="43" t="inlineStr">
        <is>
          <t>카드매출</t>
        </is>
      </c>
      <c r="F1" s="43" t="inlineStr">
        <is>
          <t>현금매출</t>
        </is>
      </c>
      <c r="G1" s="43" t="inlineStr">
        <is>
          <t>전기요금</t>
        </is>
      </c>
      <c r="H1" s="43" t="inlineStr">
        <is>
          <t>가스요금</t>
        </is>
      </c>
      <c r="I1" s="43" t="inlineStr">
        <is>
          <t>수도요금</t>
        </is>
      </c>
      <c r="J1" s="43" t="inlineStr">
        <is>
          <t>정화조</t>
        </is>
      </c>
      <c r="K1" s="43" t="inlineStr">
        <is>
          <t>회식매출</t>
        </is>
      </c>
      <c r="L1" s="43" t="inlineStr">
        <is>
          <t>기타비용</t>
        </is>
      </c>
      <c r="M1" s="43" t="inlineStr">
        <is>
          <t>비고</t>
        </is>
      </c>
      <c r="N1" s="43" t="inlineStr">
        <is>
          <t>입력일시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2026-03-07T12:35:04Z</dcterms:created>
  <dcterms:modified xmlns:dcterms="http://purl.org/dc/terms/" xmlns:xsi="http://www.w3.org/2001/XMLSchema-instance" xsi:type="dcterms:W3CDTF">2026-03-07T12:35:04Z</dcterms:modified>
</cp:coreProperties>
</file>