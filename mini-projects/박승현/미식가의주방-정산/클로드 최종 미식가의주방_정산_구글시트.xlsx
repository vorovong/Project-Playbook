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 입력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미수금 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0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b val="1"/>
      <sz val="11"/>
    </font>
    <font>
      <b val="1"/>
      <color rgb="00FFFFFF"/>
      <sz val="11"/>
    </font>
    <font>
      <b val="1"/>
      <color rgb="00666666"/>
      <sz val="10"/>
    </font>
    <font>
      <b val="1"/>
      <color rgb="00666666"/>
      <sz val="9"/>
    </font>
    <font>
      <b val="1"/>
      <color rgb="001565C0"/>
      <sz val="16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F0F0F0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0" fillId="2" borderId="1" pivotButton="0" quotePrefix="0" xfId="0"/>
    <xf numFmtId="3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3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3" fontId="5" fillId="5" borderId="1" pivotButton="0" quotePrefix="0" xfId="0"/>
    <xf numFmtId="0" fontId="6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0" fillId="6" borderId="1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'대시보드'!B8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'대시보드'!$B$9:$B$20</f>
            </numRef>
          </val>
        </ser>
        <ser>
          <idx val="1"/>
          <order val="1"/>
          <tx>
            <strRef>
              <f>'대시보드'!C8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'대시보드'!$C$9:$C$20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공존공간 수익 구성</a:t>
            </a:r>
          </a:p>
        </rich>
      </tx>
    </title>
    <plotArea>
      <pieChart>
        <varyColors val="1"/>
        <ser>
          <idx val="0"/>
          <order val="0"/>
          <tx>
            <strRef>
              <f>'대시보드'!B40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'대시보드'!$A$41:$A$45</f>
            </numRef>
          </cat>
          <val>
            <numRef>
              <f>'대시보드'!$B$41:$B$45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차감 vs 미식가 지급</a:t>
            </a:r>
          </a:p>
        </rich>
      </tx>
    </title>
    <plotArea>
      <lineChart>
        <grouping val="standard"/>
        <ser>
          <idx val="0"/>
          <order val="0"/>
          <tx>
            <strRef>
              <f>'대시보드'!K8</f>
            </strRef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'대시보드'!$K$9:$K$20</f>
            </numRef>
          </val>
        </ser>
        <ser>
          <idx val="1"/>
          <order val="1"/>
          <tx>
            <strRef>
              <f>'대시보드'!L8</f>
            </strRef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'대시보드'!$L$9:$L$20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1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2" customWidth="1" min="16" max="16"/>
    <col width="12" customWidth="1" min="17" max="17"/>
    <col width="16" customWidth="1" min="18" max="18"/>
    <col width="16" customWidth="1" min="19" max="19"/>
    <col width="14" customWidth="1" min="20" max="20"/>
    <col width="20" customWidth="1" min="21" max="21"/>
  </cols>
  <sheetData>
    <row r="1">
      <c r="A1" s="1" t="inlineStr">
        <is>
          <t>미식가의 주방 — 주간 정산표 (2026년)</t>
        </is>
      </c>
    </row>
    <row r="2">
      <c r="A2" s="2" t="inlineStr">
        <is>
          <t>🟡 노란색 = 직접 입력   |   회색 = 자동 계산 (수정 금지)   |   🔵 파란색 = 월 소계</t>
        </is>
      </c>
    </row>
    <row r="3">
      <c r="A3" s="3" t="inlineStr">
        <is>
          <t>월</t>
        </is>
      </c>
      <c r="B3" s="3" t="inlineStr">
        <is>
          <t>주</t>
        </is>
      </c>
      <c r="C3" s="3" t="inlineStr">
        <is>
          <t>시작일</t>
        </is>
      </c>
      <c r="D3" s="3" t="inlineStr">
        <is>
          <t>종료일</t>
        </is>
      </c>
      <c r="E3" s="3" t="inlineStr">
        <is>
          <t>카드매출</t>
        </is>
      </c>
      <c r="F3" s="3" t="inlineStr">
        <is>
          <t>현금매출</t>
        </is>
      </c>
      <c r="G3" s="4" t="inlineStr">
        <is>
          <t>총매출</t>
        </is>
      </c>
      <c r="H3" s="4" t="inlineStr">
        <is>
          <t>카드수수료
(15%)</t>
        </is>
      </c>
      <c r="I3" s="4" t="inlineStr">
        <is>
          <t>현금수수료
(13%)</t>
        </is>
      </c>
      <c r="J3" s="4" t="inlineStr">
        <is>
          <t>수수료합계</t>
        </is>
      </c>
      <c r="K3" s="4" t="inlineStr">
        <is>
          <t>수수료
VAT</t>
        </is>
      </c>
      <c r="L3" s="4" t="inlineStr">
        <is>
          <t>임대료
(주간배분)</t>
        </is>
      </c>
      <c r="M3" s="4" t="inlineStr">
        <is>
          <t>임대료
VAT</t>
        </is>
      </c>
      <c r="N3" s="4" t="inlineStr">
        <is>
          <t>관리비
(주간배분)</t>
        </is>
      </c>
      <c r="O3" s="3" t="inlineStr">
        <is>
          <t>공과금</t>
        </is>
      </c>
      <c r="P3" s="4" t="inlineStr">
        <is>
          <t>캡스/넷</t>
        </is>
      </c>
      <c r="Q3" s="3" t="inlineStr">
        <is>
          <t>기타비용</t>
        </is>
      </c>
      <c r="R3" s="4" t="inlineStr">
        <is>
          <t>총 차감액</t>
        </is>
      </c>
      <c r="S3" s="4" t="inlineStr">
        <is>
          <t>미식가
카드지급</t>
        </is>
      </c>
      <c r="T3" s="4" t="inlineStr">
        <is>
          <t>현금
수령액</t>
        </is>
      </c>
      <c r="U3" s="3" t="inlineStr">
        <is>
          <t>비고</t>
        </is>
      </c>
    </row>
    <row r="4">
      <c r="A4" s="5" t="n">
        <v>1</v>
      </c>
      <c r="B4" s="5" t="n">
        <v>1</v>
      </c>
      <c r="C4" s="6" t="n"/>
      <c r="D4" s="6" t="n"/>
      <c r="E4" s="7" t="n"/>
      <c r="F4" s="7" t="n"/>
      <c r="G4" s="8">
        <f>IF(E4="","",E4+F4)</f>
        <v/>
      </c>
      <c r="H4" s="8">
        <f>IF(E4="","",E4*0.15)</f>
        <v/>
      </c>
      <c r="I4" s="8">
        <f>IF(E4="","",IF(F4="",0,F4*0.13))</f>
        <v/>
      </c>
      <c r="J4" s="8">
        <f>IF(E4="","",H4+I4)</f>
        <v/>
      </c>
      <c r="K4" s="8">
        <f>IF(E4="","",J4*0.1)</f>
        <v/>
      </c>
      <c r="L4" s="8">
        <f>IF(E4="","",3000000/COUNTA(E4:E8))</f>
        <v/>
      </c>
      <c r="M4" s="8">
        <f>IF(E4="","",L4*0.1)</f>
        <v/>
      </c>
      <c r="N4" s="8">
        <f>IF(E4="","",70900/COUNTA(E4:E8))</f>
        <v/>
      </c>
      <c r="O4" s="7" t="n"/>
      <c r="P4" s="8">
        <f>IF(E4="","",IF(B4=1,50000,0))</f>
        <v/>
      </c>
      <c r="Q4" s="7" t="n"/>
      <c r="R4" s="8">
        <f>IF(E4="","",H4+I4+K4+L4+M4+N4+IF(O4="",0,O4)+P4+IF(Q4="",0,Q4))</f>
        <v/>
      </c>
      <c r="S4" s="8">
        <f>IF(E4="","",E4-(R4-I4*1.1))</f>
        <v/>
      </c>
      <c r="T4" s="8">
        <f>IF(E4="","",I4*1.1)</f>
        <v/>
      </c>
      <c r="U4" s="6" t="n"/>
    </row>
    <row r="5">
      <c r="A5" s="5" t="n">
        <v>1</v>
      </c>
      <c r="B5" s="5" t="n">
        <v>2</v>
      </c>
      <c r="C5" s="6" t="n"/>
      <c r="D5" s="6" t="n"/>
      <c r="E5" s="7" t="n"/>
      <c r="F5" s="7" t="n"/>
      <c r="G5" s="8">
        <f>IF(E5="","",E5+F5)</f>
        <v/>
      </c>
      <c r="H5" s="8">
        <f>IF(E5="","",E5*0.15)</f>
        <v/>
      </c>
      <c r="I5" s="8">
        <f>IF(E5="","",IF(F5="",0,F5*0.13))</f>
        <v/>
      </c>
      <c r="J5" s="8">
        <f>IF(E5="","",H5+I5)</f>
        <v/>
      </c>
      <c r="K5" s="8">
        <f>IF(E5="","",J5*0.1)</f>
        <v/>
      </c>
      <c r="L5" s="8">
        <f>IF(E5="","",3000000/COUNTA(E4:E8))</f>
        <v/>
      </c>
      <c r="M5" s="8">
        <f>IF(E5="","",L5*0.1)</f>
        <v/>
      </c>
      <c r="N5" s="8">
        <f>IF(E5="","",70900/COUNTA(E4:E8))</f>
        <v/>
      </c>
      <c r="O5" s="7" t="n"/>
      <c r="P5" s="8">
        <f>IF(E5="","",IF(B5=1,50000,0))</f>
        <v/>
      </c>
      <c r="Q5" s="7" t="n"/>
      <c r="R5" s="8">
        <f>IF(E5="","",H5+I5+K5+L5+M5+N5+IF(O5="",0,O5)+P5+IF(Q5="",0,Q5))</f>
        <v/>
      </c>
      <c r="S5" s="8">
        <f>IF(E5="","",E5-(R5-I5*1.1))</f>
        <v/>
      </c>
      <c r="T5" s="8">
        <f>IF(E5="","",I5*1.1)</f>
        <v/>
      </c>
      <c r="U5" s="6" t="n"/>
    </row>
    <row r="6">
      <c r="A6" s="5" t="n">
        <v>1</v>
      </c>
      <c r="B6" s="5" t="n">
        <v>3</v>
      </c>
      <c r="C6" s="6" t="n"/>
      <c r="D6" s="6" t="n"/>
      <c r="E6" s="7" t="n"/>
      <c r="F6" s="7" t="n"/>
      <c r="G6" s="8">
        <f>IF(E6="","",E6+F6)</f>
        <v/>
      </c>
      <c r="H6" s="8">
        <f>IF(E6="","",E6*0.15)</f>
        <v/>
      </c>
      <c r="I6" s="8">
        <f>IF(E6="","",IF(F6="",0,F6*0.13))</f>
        <v/>
      </c>
      <c r="J6" s="8">
        <f>IF(E6="","",H6+I6)</f>
        <v/>
      </c>
      <c r="K6" s="8">
        <f>IF(E6="","",J6*0.1)</f>
        <v/>
      </c>
      <c r="L6" s="8">
        <f>IF(E6="","",3000000/COUNTA(E4:E8))</f>
        <v/>
      </c>
      <c r="M6" s="8">
        <f>IF(E6="","",L6*0.1)</f>
        <v/>
      </c>
      <c r="N6" s="8">
        <f>IF(E6="","",70900/COUNTA(E4:E8))</f>
        <v/>
      </c>
      <c r="O6" s="7" t="n"/>
      <c r="P6" s="8">
        <f>IF(E6="","",IF(B6=1,50000,0))</f>
        <v/>
      </c>
      <c r="Q6" s="7" t="n"/>
      <c r="R6" s="8">
        <f>IF(E6="","",H6+I6+K6+L6+M6+N6+IF(O6="",0,O6)+P6+IF(Q6="",0,Q6))</f>
        <v/>
      </c>
      <c r="S6" s="8">
        <f>IF(E6="","",E6-(R6-I6*1.1))</f>
        <v/>
      </c>
      <c r="T6" s="8">
        <f>IF(E6="","",I6*1.1)</f>
        <v/>
      </c>
      <c r="U6" s="6" t="n"/>
    </row>
    <row r="7">
      <c r="A7" s="5" t="n">
        <v>1</v>
      </c>
      <c r="B7" s="5" t="n">
        <v>4</v>
      </c>
      <c r="C7" s="6" t="n"/>
      <c r="D7" s="6" t="n"/>
      <c r="E7" s="7" t="n"/>
      <c r="F7" s="7" t="n"/>
      <c r="G7" s="8">
        <f>IF(E7="","",E7+F7)</f>
        <v/>
      </c>
      <c r="H7" s="8">
        <f>IF(E7="","",E7*0.15)</f>
        <v/>
      </c>
      <c r="I7" s="8">
        <f>IF(E7="","",IF(F7="",0,F7*0.13))</f>
        <v/>
      </c>
      <c r="J7" s="8">
        <f>IF(E7="","",H7+I7)</f>
        <v/>
      </c>
      <c r="K7" s="8">
        <f>IF(E7="","",J7*0.1)</f>
        <v/>
      </c>
      <c r="L7" s="8">
        <f>IF(E7="","",3000000/COUNTA(E4:E8))</f>
        <v/>
      </c>
      <c r="M7" s="8">
        <f>IF(E7="","",L7*0.1)</f>
        <v/>
      </c>
      <c r="N7" s="8">
        <f>IF(E7="","",70900/COUNTA(E4:E8))</f>
        <v/>
      </c>
      <c r="O7" s="7" t="n"/>
      <c r="P7" s="8">
        <f>IF(E7="","",IF(B7=1,50000,0))</f>
        <v/>
      </c>
      <c r="Q7" s="7" t="n"/>
      <c r="R7" s="8">
        <f>IF(E7="","",H7+I7+K7+L7+M7+N7+IF(O7="",0,O7)+P7+IF(Q7="",0,Q7))</f>
        <v/>
      </c>
      <c r="S7" s="8">
        <f>IF(E7="","",E7-(R7-I7*1.1))</f>
        <v/>
      </c>
      <c r="T7" s="8">
        <f>IF(E7="","",I7*1.1)</f>
        <v/>
      </c>
      <c r="U7" s="6" t="n"/>
    </row>
    <row r="8">
      <c r="A8" s="5" t="n">
        <v>1</v>
      </c>
      <c r="B8" s="5" t="n">
        <v>5</v>
      </c>
      <c r="C8" s="6" t="n"/>
      <c r="D8" s="6" t="n"/>
      <c r="E8" s="7" t="n"/>
      <c r="F8" s="7" t="n"/>
      <c r="G8" s="8">
        <f>IF(E8="","",E8+F8)</f>
        <v/>
      </c>
      <c r="H8" s="8">
        <f>IF(E8="","",E8*0.15)</f>
        <v/>
      </c>
      <c r="I8" s="8">
        <f>IF(E8="","",IF(F8="",0,F8*0.13))</f>
        <v/>
      </c>
      <c r="J8" s="8">
        <f>IF(E8="","",H8+I8)</f>
        <v/>
      </c>
      <c r="K8" s="8">
        <f>IF(E8="","",J8*0.1)</f>
        <v/>
      </c>
      <c r="L8" s="8">
        <f>IF(E8="","",3000000/COUNTA(E4:E8))</f>
        <v/>
      </c>
      <c r="M8" s="8">
        <f>IF(E8="","",L8*0.1)</f>
        <v/>
      </c>
      <c r="N8" s="8">
        <f>IF(E8="","",70900/COUNTA(E4:E8))</f>
        <v/>
      </c>
      <c r="O8" s="7" t="n"/>
      <c r="P8" s="8">
        <f>IF(E8="","",IF(B8=1,50000,0))</f>
        <v/>
      </c>
      <c r="Q8" s="7" t="n"/>
      <c r="R8" s="8">
        <f>IF(E8="","",H8+I8+K8+L8+M8+N8+IF(O8="",0,O8)+P8+IF(Q8="",0,Q8))</f>
        <v/>
      </c>
      <c r="S8" s="8">
        <f>IF(E8="","",E8-(R8-I8*1.1))</f>
        <v/>
      </c>
      <c r="T8" s="8">
        <f>IF(E8="","",I8*1.1)</f>
        <v/>
      </c>
      <c r="U8" s="6" t="n"/>
    </row>
    <row r="9">
      <c r="A9" s="9" t="inlineStr">
        <is>
          <t>1월</t>
        </is>
      </c>
      <c r="B9" s="9" t="inlineStr">
        <is>
          <t>소계</t>
        </is>
      </c>
      <c r="C9" s="10" t="n"/>
      <c r="D9" s="10" t="n"/>
      <c r="E9" s="11">
        <f>SUM(E4:E8)</f>
        <v/>
      </c>
      <c r="F9" s="11">
        <f>SUM(F4:F8)</f>
        <v/>
      </c>
      <c r="G9" s="11">
        <f>SUM(G4:G8)</f>
        <v/>
      </c>
      <c r="H9" s="11">
        <f>SUM(H4:H8)</f>
        <v/>
      </c>
      <c r="I9" s="11">
        <f>SUM(I4:I8)</f>
        <v/>
      </c>
      <c r="J9" s="11">
        <f>SUM(J4:J8)</f>
        <v/>
      </c>
      <c r="K9" s="11">
        <f>SUM(K4:K8)</f>
        <v/>
      </c>
      <c r="L9" s="11">
        <f>SUM(L4:L8)</f>
        <v/>
      </c>
      <c r="M9" s="11">
        <f>SUM(M4:M8)</f>
        <v/>
      </c>
      <c r="N9" s="11">
        <f>SUM(N4:N8)</f>
        <v/>
      </c>
      <c r="O9" s="11">
        <f>SUM(O4:O8)</f>
        <v/>
      </c>
      <c r="P9" s="11">
        <f>SUM(P4:P8)</f>
        <v/>
      </c>
      <c r="Q9" s="11">
        <f>SUM(Q4:Q8)</f>
        <v/>
      </c>
      <c r="R9" s="11">
        <f>SUM(R4:R8)</f>
        <v/>
      </c>
      <c r="S9" s="11">
        <f>SUM(S4:S8)</f>
        <v/>
      </c>
      <c r="T9" s="11">
        <f>SUM(T4:T8)</f>
        <v/>
      </c>
      <c r="U9" s="10" t="n"/>
    </row>
    <row r="10">
      <c r="A10" s="5" t="n">
        <v>2</v>
      </c>
      <c r="B10" s="5" t="n">
        <v>1</v>
      </c>
      <c r="C10" s="6" t="n"/>
      <c r="D10" s="6" t="n"/>
      <c r="E10" s="7" t="n"/>
      <c r="F10" s="7" t="n"/>
      <c r="G10" s="8">
        <f>IF(E10="","",E10+F10)</f>
        <v/>
      </c>
      <c r="H10" s="8">
        <f>IF(E10="","",E10*0.15)</f>
        <v/>
      </c>
      <c r="I10" s="8">
        <f>IF(E10="","",IF(F10="",0,F10*0.13))</f>
        <v/>
      </c>
      <c r="J10" s="8">
        <f>IF(E10="","",H10+I10)</f>
        <v/>
      </c>
      <c r="K10" s="8">
        <f>IF(E10="","",J10*0.1)</f>
        <v/>
      </c>
      <c r="L10" s="8">
        <f>IF(E10="","",3000000/COUNTA(E10:E14))</f>
        <v/>
      </c>
      <c r="M10" s="8">
        <f>IF(E10="","",L10*0.1)</f>
        <v/>
      </c>
      <c r="N10" s="8">
        <f>IF(E10="","",70900/COUNTA(E10:E14))</f>
        <v/>
      </c>
      <c r="O10" s="7" t="n"/>
      <c r="P10" s="8">
        <f>IF(E10="","",IF(B10=1,50000,0))</f>
        <v/>
      </c>
      <c r="Q10" s="7" t="n"/>
      <c r="R10" s="8">
        <f>IF(E10="","",H10+I10+K10+L10+M10+N10+IF(O10="",0,O10)+P10+IF(Q10="",0,Q10))</f>
        <v/>
      </c>
      <c r="S10" s="8">
        <f>IF(E10="","",E10-(R10-I10*1.1))</f>
        <v/>
      </c>
      <c r="T10" s="8">
        <f>IF(E10="","",I10*1.1)</f>
        <v/>
      </c>
      <c r="U10" s="6" t="n"/>
    </row>
    <row r="11">
      <c r="A11" s="5" t="n">
        <v>2</v>
      </c>
      <c r="B11" s="5" t="n">
        <v>2</v>
      </c>
      <c r="C11" s="6" t="n"/>
      <c r="D11" s="6" t="n"/>
      <c r="E11" s="7" t="n"/>
      <c r="F11" s="7" t="n"/>
      <c r="G11" s="8">
        <f>IF(E11="","",E11+F11)</f>
        <v/>
      </c>
      <c r="H11" s="8">
        <f>IF(E11="","",E11*0.15)</f>
        <v/>
      </c>
      <c r="I11" s="8">
        <f>IF(E11="","",IF(F11="",0,F11*0.13))</f>
        <v/>
      </c>
      <c r="J11" s="8">
        <f>IF(E11="","",H11+I11)</f>
        <v/>
      </c>
      <c r="K11" s="8">
        <f>IF(E11="","",J11*0.1)</f>
        <v/>
      </c>
      <c r="L11" s="8">
        <f>IF(E11="","",3000000/COUNTA(E10:E14))</f>
        <v/>
      </c>
      <c r="M11" s="8">
        <f>IF(E11="","",L11*0.1)</f>
        <v/>
      </c>
      <c r="N11" s="8">
        <f>IF(E11="","",70900/COUNTA(E10:E14))</f>
        <v/>
      </c>
      <c r="O11" s="7" t="n"/>
      <c r="P11" s="8">
        <f>IF(E11="","",IF(B11=1,50000,0))</f>
        <v/>
      </c>
      <c r="Q11" s="7" t="n"/>
      <c r="R11" s="8">
        <f>IF(E11="","",H11+I11+K11+L11+M11+N11+IF(O11="",0,O11)+P11+IF(Q11="",0,Q11))</f>
        <v/>
      </c>
      <c r="S11" s="8">
        <f>IF(E11="","",E11-(R11-I11*1.1))</f>
        <v/>
      </c>
      <c r="T11" s="8">
        <f>IF(E11="","",I11*1.1)</f>
        <v/>
      </c>
      <c r="U11" s="6" t="n"/>
    </row>
    <row r="12">
      <c r="A12" s="5" t="n">
        <v>2</v>
      </c>
      <c r="B12" s="5" t="n">
        <v>3</v>
      </c>
      <c r="C12" s="6" t="n"/>
      <c r="D12" s="6" t="n"/>
      <c r="E12" s="7" t="n"/>
      <c r="F12" s="7" t="n"/>
      <c r="G12" s="8">
        <f>IF(E12="","",E12+F12)</f>
        <v/>
      </c>
      <c r="H12" s="8">
        <f>IF(E12="","",E12*0.15)</f>
        <v/>
      </c>
      <c r="I12" s="8">
        <f>IF(E12="","",IF(F12="",0,F12*0.13))</f>
        <v/>
      </c>
      <c r="J12" s="8">
        <f>IF(E12="","",H12+I12)</f>
        <v/>
      </c>
      <c r="K12" s="8">
        <f>IF(E12="","",J12*0.1)</f>
        <v/>
      </c>
      <c r="L12" s="8">
        <f>IF(E12="","",3000000/COUNTA(E10:E14))</f>
        <v/>
      </c>
      <c r="M12" s="8">
        <f>IF(E12="","",L12*0.1)</f>
        <v/>
      </c>
      <c r="N12" s="8">
        <f>IF(E12="","",70900/COUNTA(E10:E14))</f>
        <v/>
      </c>
      <c r="O12" s="7" t="n"/>
      <c r="P12" s="8">
        <f>IF(E12="","",IF(B12=1,50000,0))</f>
        <v/>
      </c>
      <c r="Q12" s="7" t="n"/>
      <c r="R12" s="8">
        <f>IF(E12="","",H12+I12+K12+L12+M12+N12+IF(O12="",0,O12)+P12+IF(Q12="",0,Q12))</f>
        <v/>
      </c>
      <c r="S12" s="8">
        <f>IF(E12="","",E12-(R12-I12*1.1))</f>
        <v/>
      </c>
      <c r="T12" s="8">
        <f>IF(E12="","",I12*1.1)</f>
        <v/>
      </c>
      <c r="U12" s="6" t="n"/>
    </row>
    <row r="13">
      <c r="A13" s="5" t="n">
        <v>2</v>
      </c>
      <c r="B13" s="5" t="n">
        <v>4</v>
      </c>
      <c r="C13" s="6" t="n"/>
      <c r="D13" s="6" t="n"/>
      <c r="E13" s="7" t="n"/>
      <c r="F13" s="7" t="n"/>
      <c r="G13" s="8">
        <f>IF(E13="","",E13+F13)</f>
        <v/>
      </c>
      <c r="H13" s="8">
        <f>IF(E13="","",E13*0.15)</f>
        <v/>
      </c>
      <c r="I13" s="8">
        <f>IF(E13="","",IF(F13="",0,F13*0.13))</f>
        <v/>
      </c>
      <c r="J13" s="8">
        <f>IF(E13="","",H13+I13)</f>
        <v/>
      </c>
      <c r="K13" s="8">
        <f>IF(E13="","",J13*0.1)</f>
        <v/>
      </c>
      <c r="L13" s="8">
        <f>IF(E13="","",3000000/COUNTA(E10:E14))</f>
        <v/>
      </c>
      <c r="M13" s="8">
        <f>IF(E13="","",L13*0.1)</f>
        <v/>
      </c>
      <c r="N13" s="8">
        <f>IF(E13="","",70900/COUNTA(E10:E14))</f>
        <v/>
      </c>
      <c r="O13" s="7" t="n"/>
      <c r="P13" s="8">
        <f>IF(E13="","",IF(B13=1,50000,0))</f>
        <v/>
      </c>
      <c r="Q13" s="7" t="n"/>
      <c r="R13" s="8">
        <f>IF(E13="","",H13+I13+K13+L13+M13+N13+IF(O13="",0,O13)+P13+IF(Q13="",0,Q13))</f>
        <v/>
      </c>
      <c r="S13" s="8">
        <f>IF(E13="","",E13-(R13-I13*1.1))</f>
        <v/>
      </c>
      <c r="T13" s="8">
        <f>IF(E13="","",I13*1.1)</f>
        <v/>
      </c>
      <c r="U13" s="6" t="n"/>
    </row>
    <row r="14">
      <c r="A14" s="5" t="n">
        <v>2</v>
      </c>
      <c r="B14" s="5" t="n">
        <v>5</v>
      </c>
      <c r="C14" s="6" t="n"/>
      <c r="D14" s="6" t="n"/>
      <c r="E14" s="7" t="n"/>
      <c r="F14" s="7" t="n"/>
      <c r="G14" s="8">
        <f>IF(E14="","",E14+F14)</f>
        <v/>
      </c>
      <c r="H14" s="8">
        <f>IF(E14="","",E14*0.15)</f>
        <v/>
      </c>
      <c r="I14" s="8">
        <f>IF(E14="","",IF(F14="",0,F14*0.13))</f>
        <v/>
      </c>
      <c r="J14" s="8">
        <f>IF(E14="","",H14+I14)</f>
        <v/>
      </c>
      <c r="K14" s="8">
        <f>IF(E14="","",J14*0.1)</f>
        <v/>
      </c>
      <c r="L14" s="8">
        <f>IF(E14="","",3000000/COUNTA(E10:E14))</f>
        <v/>
      </c>
      <c r="M14" s="8">
        <f>IF(E14="","",L14*0.1)</f>
        <v/>
      </c>
      <c r="N14" s="8">
        <f>IF(E14="","",70900/COUNTA(E10:E14))</f>
        <v/>
      </c>
      <c r="O14" s="7" t="n"/>
      <c r="P14" s="8">
        <f>IF(E14="","",IF(B14=1,50000,0))</f>
        <v/>
      </c>
      <c r="Q14" s="7" t="n"/>
      <c r="R14" s="8">
        <f>IF(E14="","",H14+I14+K14+L14+M14+N14+IF(O14="",0,O14)+P14+IF(Q14="",0,Q14))</f>
        <v/>
      </c>
      <c r="S14" s="8">
        <f>IF(E14="","",E14-(R14-I14*1.1))</f>
        <v/>
      </c>
      <c r="T14" s="8">
        <f>IF(E14="","",I14*1.1)</f>
        <v/>
      </c>
      <c r="U14" s="6" t="n"/>
    </row>
    <row r="15">
      <c r="A15" s="9" t="inlineStr">
        <is>
          <t>2월</t>
        </is>
      </c>
      <c r="B15" s="9" t="inlineStr">
        <is>
          <t>소계</t>
        </is>
      </c>
      <c r="C15" s="10" t="n"/>
      <c r="D15" s="10" t="n"/>
      <c r="E15" s="11">
        <f>SUM(E10:E14)</f>
        <v/>
      </c>
      <c r="F15" s="11">
        <f>SUM(F10:F14)</f>
        <v/>
      </c>
      <c r="G15" s="11">
        <f>SUM(G10:G14)</f>
        <v/>
      </c>
      <c r="H15" s="11">
        <f>SUM(H10:H14)</f>
        <v/>
      </c>
      <c r="I15" s="11">
        <f>SUM(I10:I14)</f>
        <v/>
      </c>
      <c r="J15" s="11">
        <f>SUM(J10:J14)</f>
        <v/>
      </c>
      <c r="K15" s="11">
        <f>SUM(K10:K14)</f>
        <v/>
      </c>
      <c r="L15" s="11">
        <f>SUM(L10:L14)</f>
        <v/>
      </c>
      <c r="M15" s="11">
        <f>SUM(M10:M14)</f>
        <v/>
      </c>
      <c r="N15" s="11">
        <f>SUM(N10:N14)</f>
        <v/>
      </c>
      <c r="O15" s="11">
        <f>SUM(O10:O14)</f>
        <v/>
      </c>
      <c r="P15" s="11">
        <f>SUM(P10:P14)</f>
        <v/>
      </c>
      <c r="Q15" s="11">
        <f>SUM(Q10:Q14)</f>
        <v/>
      </c>
      <c r="R15" s="11">
        <f>SUM(R10:R14)</f>
        <v/>
      </c>
      <c r="S15" s="11">
        <f>SUM(S10:S14)</f>
        <v/>
      </c>
      <c r="T15" s="11">
        <f>SUM(T10:T14)</f>
        <v/>
      </c>
      <c r="U15" s="10" t="n"/>
    </row>
    <row r="16">
      <c r="A16" s="5" t="n">
        <v>3</v>
      </c>
      <c r="B16" s="5" t="n">
        <v>1</v>
      </c>
      <c r="C16" s="6" t="n"/>
      <c r="D16" s="6" t="n"/>
      <c r="E16" s="7" t="n"/>
      <c r="F16" s="7" t="n"/>
      <c r="G16" s="8">
        <f>IF(E16="","",E16+F16)</f>
        <v/>
      </c>
      <c r="H16" s="8">
        <f>IF(E16="","",E16*0.15)</f>
        <v/>
      </c>
      <c r="I16" s="8">
        <f>IF(E16="","",IF(F16="",0,F16*0.13))</f>
        <v/>
      </c>
      <c r="J16" s="8">
        <f>IF(E16="","",H16+I16)</f>
        <v/>
      </c>
      <c r="K16" s="8">
        <f>IF(E16="","",J16*0.1)</f>
        <v/>
      </c>
      <c r="L16" s="8">
        <f>IF(E16="","",3000000/COUNTA(E16:E20))</f>
        <v/>
      </c>
      <c r="M16" s="8">
        <f>IF(E16="","",L16*0.1)</f>
        <v/>
      </c>
      <c r="N16" s="8">
        <f>IF(E16="","",70900/COUNTA(E16:E20))</f>
        <v/>
      </c>
      <c r="O16" s="7" t="n"/>
      <c r="P16" s="8">
        <f>IF(E16="","",IF(B16=1,50000,0))</f>
        <v/>
      </c>
      <c r="Q16" s="7" t="n"/>
      <c r="R16" s="8">
        <f>IF(E16="","",H16+I16+K16+L16+M16+N16+IF(O16="",0,O16)+P16+IF(Q16="",0,Q16))</f>
        <v/>
      </c>
      <c r="S16" s="8">
        <f>IF(E16="","",E16-(R16-I16*1.1))</f>
        <v/>
      </c>
      <c r="T16" s="8">
        <f>IF(E16="","",I16*1.1)</f>
        <v/>
      </c>
      <c r="U16" s="6" t="n"/>
    </row>
    <row r="17">
      <c r="A17" s="5" t="n">
        <v>3</v>
      </c>
      <c r="B17" s="5" t="n">
        <v>2</v>
      </c>
      <c r="C17" s="6" t="n"/>
      <c r="D17" s="6" t="n"/>
      <c r="E17" s="7" t="n"/>
      <c r="F17" s="7" t="n"/>
      <c r="G17" s="8">
        <f>IF(E17="","",E17+F17)</f>
        <v/>
      </c>
      <c r="H17" s="8">
        <f>IF(E17="","",E17*0.15)</f>
        <v/>
      </c>
      <c r="I17" s="8">
        <f>IF(E17="","",IF(F17="",0,F17*0.13))</f>
        <v/>
      </c>
      <c r="J17" s="8">
        <f>IF(E17="","",H17+I17)</f>
        <v/>
      </c>
      <c r="K17" s="8">
        <f>IF(E17="","",J17*0.1)</f>
        <v/>
      </c>
      <c r="L17" s="8">
        <f>IF(E17="","",3000000/COUNTA(E16:E20))</f>
        <v/>
      </c>
      <c r="M17" s="8">
        <f>IF(E17="","",L17*0.1)</f>
        <v/>
      </c>
      <c r="N17" s="8">
        <f>IF(E17="","",70900/COUNTA(E16:E20))</f>
        <v/>
      </c>
      <c r="O17" s="7" t="n"/>
      <c r="P17" s="8">
        <f>IF(E17="","",IF(B17=1,50000,0))</f>
        <v/>
      </c>
      <c r="Q17" s="7" t="n"/>
      <c r="R17" s="8">
        <f>IF(E17="","",H17+I17+K17+L17+M17+N17+IF(O17="",0,O17)+P17+IF(Q17="",0,Q17))</f>
        <v/>
      </c>
      <c r="S17" s="8">
        <f>IF(E17="","",E17-(R17-I17*1.1))</f>
        <v/>
      </c>
      <c r="T17" s="8">
        <f>IF(E17="","",I17*1.1)</f>
        <v/>
      </c>
      <c r="U17" s="6" t="n"/>
    </row>
    <row r="18">
      <c r="A18" s="5" t="n">
        <v>3</v>
      </c>
      <c r="B18" s="5" t="n">
        <v>3</v>
      </c>
      <c r="C18" s="6" t="n"/>
      <c r="D18" s="6" t="n"/>
      <c r="E18" s="7" t="n"/>
      <c r="F18" s="7" t="n"/>
      <c r="G18" s="8">
        <f>IF(E18="","",E18+F18)</f>
        <v/>
      </c>
      <c r="H18" s="8">
        <f>IF(E18="","",E18*0.15)</f>
        <v/>
      </c>
      <c r="I18" s="8">
        <f>IF(E18="","",IF(F18="",0,F18*0.13))</f>
        <v/>
      </c>
      <c r="J18" s="8">
        <f>IF(E18="","",H18+I18)</f>
        <v/>
      </c>
      <c r="K18" s="8">
        <f>IF(E18="","",J18*0.1)</f>
        <v/>
      </c>
      <c r="L18" s="8">
        <f>IF(E18="","",3000000/COUNTA(E16:E20))</f>
        <v/>
      </c>
      <c r="M18" s="8">
        <f>IF(E18="","",L18*0.1)</f>
        <v/>
      </c>
      <c r="N18" s="8">
        <f>IF(E18="","",70900/COUNTA(E16:E20))</f>
        <v/>
      </c>
      <c r="O18" s="7" t="n"/>
      <c r="P18" s="8">
        <f>IF(E18="","",IF(B18=1,50000,0))</f>
        <v/>
      </c>
      <c r="Q18" s="7" t="n"/>
      <c r="R18" s="8">
        <f>IF(E18="","",H18+I18+K18+L18+M18+N18+IF(O18="",0,O18)+P18+IF(Q18="",0,Q18))</f>
        <v/>
      </c>
      <c r="S18" s="8">
        <f>IF(E18="","",E18-(R18-I18*1.1))</f>
        <v/>
      </c>
      <c r="T18" s="8">
        <f>IF(E18="","",I18*1.1)</f>
        <v/>
      </c>
      <c r="U18" s="6" t="n"/>
    </row>
    <row r="19">
      <c r="A19" s="5" t="n">
        <v>3</v>
      </c>
      <c r="B19" s="5" t="n">
        <v>4</v>
      </c>
      <c r="C19" s="6" t="n"/>
      <c r="D19" s="6" t="n"/>
      <c r="E19" s="7" t="n"/>
      <c r="F19" s="7" t="n"/>
      <c r="G19" s="8">
        <f>IF(E19="","",E19+F19)</f>
        <v/>
      </c>
      <c r="H19" s="8">
        <f>IF(E19="","",E19*0.15)</f>
        <v/>
      </c>
      <c r="I19" s="8">
        <f>IF(E19="","",IF(F19="",0,F19*0.13))</f>
        <v/>
      </c>
      <c r="J19" s="8">
        <f>IF(E19="","",H19+I19)</f>
        <v/>
      </c>
      <c r="K19" s="8">
        <f>IF(E19="","",J19*0.1)</f>
        <v/>
      </c>
      <c r="L19" s="8">
        <f>IF(E19="","",3000000/COUNTA(E16:E20))</f>
        <v/>
      </c>
      <c r="M19" s="8">
        <f>IF(E19="","",L19*0.1)</f>
        <v/>
      </c>
      <c r="N19" s="8">
        <f>IF(E19="","",70900/COUNTA(E16:E20))</f>
        <v/>
      </c>
      <c r="O19" s="7" t="n"/>
      <c r="P19" s="8">
        <f>IF(E19="","",IF(B19=1,50000,0))</f>
        <v/>
      </c>
      <c r="Q19" s="7" t="n"/>
      <c r="R19" s="8">
        <f>IF(E19="","",H19+I19+K19+L19+M19+N19+IF(O19="",0,O19)+P19+IF(Q19="",0,Q19))</f>
        <v/>
      </c>
      <c r="S19" s="8">
        <f>IF(E19="","",E19-(R19-I19*1.1))</f>
        <v/>
      </c>
      <c r="T19" s="8">
        <f>IF(E19="","",I19*1.1)</f>
        <v/>
      </c>
      <c r="U19" s="6" t="n"/>
    </row>
    <row r="20">
      <c r="A20" s="5" t="n">
        <v>3</v>
      </c>
      <c r="B20" s="5" t="n">
        <v>5</v>
      </c>
      <c r="C20" s="6" t="n"/>
      <c r="D20" s="6" t="n"/>
      <c r="E20" s="7" t="n"/>
      <c r="F20" s="7" t="n"/>
      <c r="G20" s="8">
        <f>IF(E20="","",E20+F20)</f>
        <v/>
      </c>
      <c r="H20" s="8">
        <f>IF(E20="","",E20*0.15)</f>
        <v/>
      </c>
      <c r="I20" s="8">
        <f>IF(E20="","",IF(F20="",0,F20*0.13))</f>
        <v/>
      </c>
      <c r="J20" s="8">
        <f>IF(E20="","",H20+I20)</f>
        <v/>
      </c>
      <c r="K20" s="8">
        <f>IF(E20="","",J20*0.1)</f>
        <v/>
      </c>
      <c r="L20" s="8">
        <f>IF(E20="","",3000000/COUNTA(E16:E20))</f>
        <v/>
      </c>
      <c r="M20" s="8">
        <f>IF(E20="","",L20*0.1)</f>
        <v/>
      </c>
      <c r="N20" s="8">
        <f>IF(E20="","",70900/COUNTA(E16:E20))</f>
        <v/>
      </c>
      <c r="O20" s="7" t="n"/>
      <c r="P20" s="8">
        <f>IF(E20="","",IF(B20=1,50000,0))</f>
        <v/>
      </c>
      <c r="Q20" s="7" t="n"/>
      <c r="R20" s="8">
        <f>IF(E20="","",H20+I20+K20+L20+M20+N20+IF(O20="",0,O20)+P20+IF(Q20="",0,Q20))</f>
        <v/>
      </c>
      <c r="S20" s="8">
        <f>IF(E20="","",E20-(R20-I20*1.1))</f>
        <v/>
      </c>
      <c r="T20" s="8">
        <f>IF(E20="","",I20*1.1)</f>
        <v/>
      </c>
      <c r="U20" s="6" t="n"/>
    </row>
    <row r="21">
      <c r="A21" s="9" t="inlineStr">
        <is>
          <t>3월</t>
        </is>
      </c>
      <c r="B21" s="9" t="inlineStr">
        <is>
          <t>소계</t>
        </is>
      </c>
      <c r="C21" s="10" t="n"/>
      <c r="D21" s="10" t="n"/>
      <c r="E21" s="11">
        <f>SUM(E16:E20)</f>
        <v/>
      </c>
      <c r="F21" s="11">
        <f>SUM(F16:F20)</f>
        <v/>
      </c>
      <c r="G21" s="11">
        <f>SUM(G16:G20)</f>
        <v/>
      </c>
      <c r="H21" s="11">
        <f>SUM(H16:H20)</f>
        <v/>
      </c>
      <c r="I21" s="11">
        <f>SUM(I16:I20)</f>
        <v/>
      </c>
      <c r="J21" s="11">
        <f>SUM(J16:J20)</f>
        <v/>
      </c>
      <c r="K21" s="11">
        <f>SUM(K16:K20)</f>
        <v/>
      </c>
      <c r="L21" s="11">
        <f>SUM(L16:L20)</f>
        <v/>
      </c>
      <c r="M21" s="11">
        <f>SUM(M16:M20)</f>
        <v/>
      </c>
      <c r="N21" s="11">
        <f>SUM(N16:N20)</f>
        <v/>
      </c>
      <c r="O21" s="11">
        <f>SUM(O16:O20)</f>
        <v/>
      </c>
      <c r="P21" s="11">
        <f>SUM(P16:P20)</f>
        <v/>
      </c>
      <c r="Q21" s="11">
        <f>SUM(Q16:Q20)</f>
        <v/>
      </c>
      <c r="R21" s="11">
        <f>SUM(R16:R20)</f>
        <v/>
      </c>
      <c r="S21" s="11">
        <f>SUM(S16:S20)</f>
        <v/>
      </c>
      <c r="T21" s="11">
        <f>SUM(T16:T20)</f>
        <v/>
      </c>
      <c r="U21" s="10" t="n"/>
    </row>
    <row r="22">
      <c r="A22" s="5" t="n">
        <v>4</v>
      </c>
      <c r="B22" s="5" t="n">
        <v>1</v>
      </c>
      <c r="C22" s="6" t="n"/>
      <c r="D22" s="6" t="n"/>
      <c r="E22" s="7" t="n"/>
      <c r="F22" s="7" t="n"/>
      <c r="G22" s="8">
        <f>IF(E22="","",E22+F22)</f>
        <v/>
      </c>
      <c r="H22" s="8">
        <f>IF(E22="","",E22*0.15)</f>
        <v/>
      </c>
      <c r="I22" s="8">
        <f>IF(E22="","",IF(F22="",0,F22*0.13))</f>
        <v/>
      </c>
      <c r="J22" s="8">
        <f>IF(E22="","",H22+I22)</f>
        <v/>
      </c>
      <c r="K22" s="8">
        <f>IF(E22="","",J22*0.1)</f>
        <v/>
      </c>
      <c r="L22" s="8">
        <f>IF(E22="","",3000000/COUNTA(E22:E26))</f>
        <v/>
      </c>
      <c r="M22" s="8">
        <f>IF(E22="","",L22*0.1)</f>
        <v/>
      </c>
      <c r="N22" s="8">
        <f>IF(E22="","",70900/COUNTA(E22:E26))</f>
        <v/>
      </c>
      <c r="O22" s="7" t="n"/>
      <c r="P22" s="8">
        <f>IF(E22="","",IF(B22=1,50000,0))</f>
        <v/>
      </c>
      <c r="Q22" s="7" t="n"/>
      <c r="R22" s="8">
        <f>IF(E22="","",H22+I22+K22+L22+M22+N22+IF(O22="",0,O22)+P22+IF(Q22="",0,Q22))</f>
        <v/>
      </c>
      <c r="S22" s="8">
        <f>IF(E22="","",E22-(R22-I22*1.1))</f>
        <v/>
      </c>
      <c r="T22" s="8">
        <f>IF(E22="","",I22*1.1)</f>
        <v/>
      </c>
      <c r="U22" s="6" t="n"/>
    </row>
    <row r="23">
      <c r="A23" s="5" t="n">
        <v>4</v>
      </c>
      <c r="B23" s="5" t="n">
        <v>2</v>
      </c>
      <c r="C23" s="6" t="n"/>
      <c r="D23" s="6" t="n"/>
      <c r="E23" s="7" t="n"/>
      <c r="F23" s="7" t="n"/>
      <c r="G23" s="8">
        <f>IF(E23="","",E23+F23)</f>
        <v/>
      </c>
      <c r="H23" s="8">
        <f>IF(E23="","",E23*0.15)</f>
        <v/>
      </c>
      <c r="I23" s="8">
        <f>IF(E23="","",IF(F23="",0,F23*0.13))</f>
        <v/>
      </c>
      <c r="J23" s="8">
        <f>IF(E23="","",H23+I23)</f>
        <v/>
      </c>
      <c r="K23" s="8">
        <f>IF(E23="","",J23*0.1)</f>
        <v/>
      </c>
      <c r="L23" s="8">
        <f>IF(E23="","",3000000/COUNTA(E22:E26))</f>
        <v/>
      </c>
      <c r="M23" s="8">
        <f>IF(E23="","",L23*0.1)</f>
        <v/>
      </c>
      <c r="N23" s="8">
        <f>IF(E23="","",70900/COUNTA(E22:E26))</f>
        <v/>
      </c>
      <c r="O23" s="7" t="n"/>
      <c r="P23" s="8">
        <f>IF(E23="","",IF(B23=1,50000,0))</f>
        <v/>
      </c>
      <c r="Q23" s="7" t="n"/>
      <c r="R23" s="8">
        <f>IF(E23="","",H23+I23+K23+L23+M23+N23+IF(O23="",0,O23)+P23+IF(Q23="",0,Q23))</f>
        <v/>
      </c>
      <c r="S23" s="8">
        <f>IF(E23="","",E23-(R23-I23*1.1))</f>
        <v/>
      </c>
      <c r="T23" s="8">
        <f>IF(E23="","",I23*1.1)</f>
        <v/>
      </c>
      <c r="U23" s="6" t="n"/>
    </row>
    <row r="24">
      <c r="A24" s="5" t="n">
        <v>4</v>
      </c>
      <c r="B24" s="5" t="n">
        <v>3</v>
      </c>
      <c r="C24" s="6" t="n"/>
      <c r="D24" s="6" t="n"/>
      <c r="E24" s="7" t="n"/>
      <c r="F24" s="7" t="n"/>
      <c r="G24" s="8">
        <f>IF(E24="","",E24+F24)</f>
        <v/>
      </c>
      <c r="H24" s="8">
        <f>IF(E24="","",E24*0.15)</f>
        <v/>
      </c>
      <c r="I24" s="8">
        <f>IF(E24="","",IF(F24="",0,F24*0.13))</f>
        <v/>
      </c>
      <c r="J24" s="8">
        <f>IF(E24="","",H24+I24)</f>
        <v/>
      </c>
      <c r="K24" s="8">
        <f>IF(E24="","",J24*0.1)</f>
        <v/>
      </c>
      <c r="L24" s="8">
        <f>IF(E24="","",3000000/COUNTA(E22:E26))</f>
        <v/>
      </c>
      <c r="M24" s="8">
        <f>IF(E24="","",L24*0.1)</f>
        <v/>
      </c>
      <c r="N24" s="8">
        <f>IF(E24="","",70900/COUNTA(E22:E26))</f>
        <v/>
      </c>
      <c r="O24" s="7" t="n"/>
      <c r="P24" s="8">
        <f>IF(E24="","",IF(B24=1,50000,0))</f>
        <v/>
      </c>
      <c r="Q24" s="7" t="n"/>
      <c r="R24" s="8">
        <f>IF(E24="","",H24+I24+K24+L24+M24+N24+IF(O24="",0,O24)+P24+IF(Q24="",0,Q24))</f>
        <v/>
      </c>
      <c r="S24" s="8">
        <f>IF(E24="","",E24-(R24-I24*1.1))</f>
        <v/>
      </c>
      <c r="T24" s="8">
        <f>IF(E24="","",I24*1.1)</f>
        <v/>
      </c>
      <c r="U24" s="6" t="n"/>
    </row>
    <row r="25">
      <c r="A25" s="5" t="n">
        <v>4</v>
      </c>
      <c r="B25" s="5" t="n">
        <v>4</v>
      </c>
      <c r="C25" s="6" t="n"/>
      <c r="D25" s="6" t="n"/>
      <c r="E25" s="7" t="n"/>
      <c r="F25" s="7" t="n"/>
      <c r="G25" s="8">
        <f>IF(E25="","",E25+F25)</f>
        <v/>
      </c>
      <c r="H25" s="8">
        <f>IF(E25="","",E25*0.15)</f>
        <v/>
      </c>
      <c r="I25" s="8">
        <f>IF(E25="","",IF(F25="",0,F25*0.13))</f>
        <v/>
      </c>
      <c r="J25" s="8">
        <f>IF(E25="","",H25+I25)</f>
        <v/>
      </c>
      <c r="K25" s="8">
        <f>IF(E25="","",J25*0.1)</f>
        <v/>
      </c>
      <c r="L25" s="8">
        <f>IF(E25="","",3000000/COUNTA(E22:E26))</f>
        <v/>
      </c>
      <c r="M25" s="8">
        <f>IF(E25="","",L25*0.1)</f>
        <v/>
      </c>
      <c r="N25" s="8">
        <f>IF(E25="","",70900/COUNTA(E22:E26))</f>
        <v/>
      </c>
      <c r="O25" s="7" t="n"/>
      <c r="P25" s="8">
        <f>IF(E25="","",IF(B25=1,50000,0))</f>
        <v/>
      </c>
      <c r="Q25" s="7" t="n"/>
      <c r="R25" s="8">
        <f>IF(E25="","",H25+I25+K25+L25+M25+N25+IF(O25="",0,O25)+P25+IF(Q25="",0,Q25))</f>
        <v/>
      </c>
      <c r="S25" s="8">
        <f>IF(E25="","",E25-(R25-I25*1.1))</f>
        <v/>
      </c>
      <c r="T25" s="8">
        <f>IF(E25="","",I25*1.1)</f>
        <v/>
      </c>
      <c r="U25" s="6" t="n"/>
    </row>
    <row r="26">
      <c r="A26" s="5" t="n">
        <v>4</v>
      </c>
      <c r="B26" s="5" t="n">
        <v>5</v>
      </c>
      <c r="C26" s="6" t="n"/>
      <c r="D26" s="6" t="n"/>
      <c r="E26" s="7" t="n"/>
      <c r="F26" s="7" t="n"/>
      <c r="G26" s="8">
        <f>IF(E26="","",E26+F26)</f>
        <v/>
      </c>
      <c r="H26" s="8">
        <f>IF(E26="","",E26*0.15)</f>
        <v/>
      </c>
      <c r="I26" s="8">
        <f>IF(E26="","",IF(F26="",0,F26*0.13))</f>
        <v/>
      </c>
      <c r="J26" s="8">
        <f>IF(E26="","",H26+I26)</f>
        <v/>
      </c>
      <c r="K26" s="8">
        <f>IF(E26="","",J26*0.1)</f>
        <v/>
      </c>
      <c r="L26" s="8">
        <f>IF(E26="","",3000000/COUNTA(E22:E26))</f>
        <v/>
      </c>
      <c r="M26" s="8">
        <f>IF(E26="","",L26*0.1)</f>
        <v/>
      </c>
      <c r="N26" s="8">
        <f>IF(E26="","",70900/COUNTA(E22:E26))</f>
        <v/>
      </c>
      <c r="O26" s="7" t="n"/>
      <c r="P26" s="8">
        <f>IF(E26="","",IF(B26=1,50000,0))</f>
        <v/>
      </c>
      <c r="Q26" s="7" t="n"/>
      <c r="R26" s="8">
        <f>IF(E26="","",H26+I26+K26+L26+M26+N26+IF(O26="",0,O26)+P26+IF(Q26="",0,Q26))</f>
        <v/>
      </c>
      <c r="S26" s="8">
        <f>IF(E26="","",E26-(R26-I26*1.1))</f>
        <v/>
      </c>
      <c r="T26" s="8">
        <f>IF(E26="","",I26*1.1)</f>
        <v/>
      </c>
      <c r="U26" s="6" t="n"/>
    </row>
    <row r="27">
      <c r="A27" s="9" t="inlineStr">
        <is>
          <t>4월</t>
        </is>
      </c>
      <c r="B27" s="9" t="inlineStr">
        <is>
          <t>소계</t>
        </is>
      </c>
      <c r="C27" s="10" t="n"/>
      <c r="D27" s="10" t="n"/>
      <c r="E27" s="11">
        <f>SUM(E22:E26)</f>
        <v/>
      </c>
      <c r="F27" s="11">
        <f>SUM(F22:F26)</f>
        <v/>
      </c>
      <c r="G27" s="11">
        <f>SUM(G22:G26)</f>
        <v/>
      </c>
      <c r="H27" s="11">
        <f>SUM(H22:H26)</f>
        <v/>
      </c>
      <c r="I27" s="11">
        <f>SUM(I22:I26)</f>
        <v/>
      </c>
      <c r="J27" s="11">
        <f>SUM(J22:J26)</f>
        <v/>
      </c>
      <c r="K27" s="11">
        <f>SUM(K22:K26)</f>
        <v/>
      </c>
      <c r="L27" s="11">
        <f>SUM(L22:L26)</f>
        <v/>
      </c>
      <c r="M27" s="11">
        <f>SUM(M22:M26)</f>
        <v/>
      </c>
      <c r="N27" s="11">
        <f>SUM(N22:N26)</f>
        <v/>
      </c>
      <c r="O27" s="11">
        <f>SUM(O22:O26)</f>
        <v/>
      </c>
      <c r="P27" s="11">
        <f>SUM(P22:P26)</f>
        <v/>
      </c>
      <c r="Q27" s="11">
        <f>SUM(Q22:Q26)</f>
        <v/>
      </c>
      <c r="R27" s="11">
        <f>SUM(R22:R26)</f>
        <v/>
      </c>
      <c r="S27" s="11">
        <f>SUM(S22:S26)</f>
        <v/>
      </c>
      <c r="T27" s="11">
        <f>SUM(T22:T26)</f>
        <v/>
      </c>
      <c r="U27" s="10" t="n"/>
    </row>
    <row r="28">
      <c r="A28" s="5" t="n">
        <v>5</v>
      </c>
      <c r="B28" s="5" t="n">
        <v>1</v>
      </c>
      <c r="C28" s="6" t="n"/>
      <c r="D28" s="6" t="n"/>
      <c r="E28" s="7" t="n"/>
      <c r="F28" s="7" t="n"/>
      <c r="G28" s="8">
        <f>IF(E28="","",E28+F28)</f>
        <v/>
      </c>
      <c r="H28" s="8">
        <f>IF(E28="","",E28*0.15)</f>
        <v/>
      </c>
      <c r="I28" s="8">
        <f>IF(E28="","",IF(F28="",0,F28*0.13))</f>
        <v/>
      </c>
      <c r="J28" s="8">
        <f>IF(E28="","",H28+I28)</f>
        <v/>
      </c>
      <c r="K28" s="8">
        <f>IF(E28="","",J28*0.1)</f>
        <v/>
      </c>
      <c r="L28" s="8">
        <f>IF(E28="","",3000000/COUNTA(E28:E32))</f>
        <v/>
      </c>
      <c r="M28" s="8">
        <f>IF(E28="","",L28*0.1)</f>
        <v/>
      </c>
      <c r="N28" s="8">
        <f>IF(E28="","",70900/COUNTA(E28:E32))</f>
        <v/>
      </c>
      <c r="O28" s="7" t="n"/>
      <c r="P28" s="8">
        <f>IF(E28="","",IF(B28=1,50000,0))</f>
        <v/>
      </c>
      <c r="Q28" s="7" t="n"/>
      <c r="R28" s="8">
        <f>IF(E28="","",H28+I28+K28+L28+M28+N28+IF(O28="",0,O28)+P28+IF(Q28="",0,Q28))</f>
        <v/>
      </c>
      <c r="S28" s="8">
        <f>IF(E28="","",E28-(R28-I28*1.1))</f>
        <v/>
      </c>
      <c r="T28" s="8">
        <f>IF(E28="","",I28*1.1)</f>
        <v/>
      </c>
      <c r="U28" s="6" t="n"/>
    </row>
    <row r="29">
      <c r="A29" s="5" t="n">
        <v>5</v>
      </c>
      <c r="B29" s="5" t="n">
        <v>2</v>
      </c>
      <c r="C29" s="6" t="n"/>
      <c r="D29" s="6" t="n"/>
      <c r="E29" s="7" t="n"/>
      <c r="F29" s="7" t="n"/>
      <c r="G29" s="8">
        <f>IF(E29="","",E29+F29)</f>
        <v/>
      </c>
      <c r="H29" s="8">
        <f>IF(E29="","",E29*0.15)</f>
        <v/>
      </c>
      <c r="I29" s="8">
        <f>IF(E29="","",IF(F29="",0,F29*0.13))</f>
        <v/>
      </c>
      <c r="J29" s="8">
        <f>IF(E29="","",H29+I29)</f>
        <v/>
      </c>
      <c r="K29" s="8">
        <f>IF(E29="","",J29*0.1)</f>
        <v/>
      </c>
      <c r="L29" s="8">
        <f>IF(E29="","",3000000/COUNTA(E28:E32))</f>
        <v/>
      </c>
      <c r="M29" s="8">
        <f>IF(E29="","",L29*0.1)</f>
        <v/>
      </c>
      <c r="N29" s="8">
        <f>IF(E29="","",70900/COUNTA(E28:E32))</f>
        <v/>
      </c>
      <c r="O29" s="7" t="n"/>
      <c r="P29" s="8">
        <f>IF(E29="","",IF(B29=1,50000,0))</f>
        <v/>
      </c>
      <c r="Q29" s="7" t="n"/>
      <c r="R29" s="8">
        <f>IF(E29="","",H29+I29+K29+L29+M29+N29+IF(O29="",0,O29)+P29+IF(Q29="",0,Q29))</f>
        <v/>
      </c>
      <c r="S29" s="8">
        <f>IF(E29="","",E29-(R29-I29*1.1))</f>
        <v/>
      </c>
      <c r="T29" s="8">
        <f>IF(E29="","",I29*1.1)</f>
        <v/>
      </c>
      <c r="U29" s="6" t="n"/>
    </row>
    <row r="30">
      <c r="A30" s="5" t="n">
        <v>5</v>
      </c>
      <c r="B30" s="5" t="n">
        <v>3</v>
      </c>
      <c r="C30" s="6" t="n"/>
      <c r="D30" s="6" t="n"/>
      <c r="E30" s="7" t="n"/>
      <c r="F30" s="7" t="n"/>
      <c r="G30" s="8">
        <f>IF(E30="","",E30+F30)</f>
        <v/>
      </c>
      <c r="H30" s="8">
        <f>IF(E30="","",E30*0.15)</f>
        <v/>
      </c>
      <c r="I30" s="8">
        <f>IF(E30="","",IF(F30="",0,F30*0.13))</f>
        <v/>
      </c>
      <c r="J30" s="8">
        <f>IF(E30="","",H30+I30)</f>
        <v/>
      </c>
      <c r="K30" s="8">
        <f>IF(E30="","",J30*0.1)</f>
        <v/>
      </c>
      <c r="L30" s="8">
        <f>IF(E30="","",3000000/COUNTA(E28:E32))</f>
        <v/>
      </c>
      <c r="M30" s="8">
        <f>IF(E30="","",L30*0.1)</f>
        <v/>
      </c>
      <c r="N30" s="8">
        <f>IF(E30="","",70900/COUNTA(E28:E32))</f>
        <v/>
      </c>
      <c r="O30" s="7" t="n"/>
      <c r="P30" s="8">
        <f>IF(E30="","",IF(B30=1,50000,0))</f>
        <v/>
      </c>
      <c r="Q30" s="7" t="n"/>
      <c r="R30" s="8">
        <f>IF(E30="","",H30+I30+K30+L30+M30+N30+IF(O30="",0,O30)+P30+IF(Q30="",0,Q30))</f>
        <v/>
      </c>
      <c r="S30" s="8">
        <f>IF(E30="","",E30-(R30-I30*1.1))</f>
        <v/>
      </c>
      <c r="T30" s="8">
        <f>IF(E30="","",I30*1.1)</f>
        <v/>
      </c>
      <c r="U30" s="6" t="n"/>
    </row>
    <row r="31">
      <c r="A31" s="5" t="n">
        <v>5</v>
      </c>
      <c r="B31" s="5" t="n">
        <v>4</v>
      </c>
      <c r="C31" s="6" t="n"/>
      <c r="D31" s="6" t="n"/>
      <c r="E31" s="7" t="n"/>
      <c r="F31" s="7" t="n"/>
      <c r="G31" s="8">
        <f>IF(E31="","",E31+F31)</f>
        <v/>
      </c>
      <c r="H31" s="8">
        <f>IF(E31="","",E31*0.15)</f>
        <v/>
      </c>
      <c r="I31" s="8">
        <f>IF(E31="","",IF(F31="",0,F31*0.13))</f>
        <v/>
      </c>
      <c r="J31" s="8">
        <f>IF(E31="","",H31+I31)</f>
        <v/>
      </c>
      <c r="K31" s="8">
        <f>IF(E31="","",J31*0.1)</f>
        <v/>
      </c>
      <c r="L31" s="8">
        <f>IF(E31="","",3000000/COUNTA(E28:E32))</f>
        <v/>
      </c>
      <c r="M31" s="8">
        <f>IF(E31="","",L31*0.1)</f>
        <v/>
      </c>
      <c r="N31" s="8">
        <f>IF(E31="","",70900/COUNTA(E28:E32))</f>
        <v/>
      </c>
      <c r="O31" s="7" t="n"/>
      <c r="P31" s="8">
        <f>IF(E31="","",IF(B31=1,50000,0))</f>
        <v/>
      </c>
      <c r="Q31" s="7" t="n"/>
      <c r="R31" s="8">
        <f>IF(E31="","",H31+I31+K31+L31+M31+N31+IF(O31="",0,O31)+P31+IF(Q31="",0,Q31))</f>
        <v/>
      </c>
      <c r="S31" s="8">
        <f>IF(E31="","",E31-(R31-I31*1.1))</f>
        <v/>
      </c>
      <c r="T31" s="8">
        <f>IF(E31="","",I31*1.1)</f>
        <v/>
      </c>
      <c r="U31" s="6" t="n"/>
    </row>
    <row r="32">
      <c r="A32" s="5" t="n">
        <v>5</v>
      </c>
      <c r="B32" s="5" t="n">
        <v>5</v>
      </c>
      <c r="C32" s="6" t="n"/>
      <c r="D32" s="6" t="n"/>
      <c r="E32" s="7" t="n"/>
      <c r="F32" s="7" t="n"/>
      <c r="G32" s="8">
        <f>IF(E32="","",E32+F32)</f>
        <v/>
      </c>
      <c r="H32" s="8">
        <f>IF(E32="","",E32*0.15)</f>
        <v/>
      </c>
      <c r="I32" s="8">
        <f>IF(E32="","",IF(F32="",0,F32*0.13))</f>
        <v/>
      </c>
      <c r="J32" s="8">
        <f>IF(E32="","",H32+I32)</f>
        <v/>
      </c>
      <c r="K32" s="8">
        <f>IF(E32="","",J32*0.1)</f>
        <v/>
      </c>
      <c r="L32" s="8">
        <f>IF(E32="","",3000000/COUNTA(E28:E32))</f>
        <v/>
      </c>
      <c r="M32" s="8">
        <f>IF(E32="","",L32*0.1)</f>
        <v/>
      </c>
      <c r="N32" s="8">
        <f>IF(E32="","",70900/COUNTA(E28:E32))</f>
        <v/>
      </c>
      <c r="O32" s="7" t="n"/>
      <c r="P32" s="8">
        <f>IF(E32="","",IF(B32=1,50000,0))</f>
        <v/>
      </c>
      <c r="Q32" s="7" t="n"/>
      <c r="R32" s="8">
        <f>IF(E32="","",H32+I32+K32+L32+M32+N32+IF(O32="",0,O32)+P32+IF(Q32="",0,Q32))</f>
        <v/>
      </c>
      <c r="S32" s="8">
        <f>IF(E32="","",E32-(R32-I32*1.1))</f>
        <v/>
      </c>
      <c r="T32" s="8">
        <f>IF(E32="","",I32*1.1)</f>
        <v/>
      </c>
      <c r="U32" s="6" t="n"/>
    </row>
    <row r="33">
      <c r="A33" s="9" t="inlineStr">
        <is>
          <t>5월</t>
        </is>
      </c>
      <c r="B33" s="9" t="inlineStr">
        <is>
          <t>소계</t>
        </is>
      </c>
      <c r="C33" s="10" t="n"/>
      <c r="D33" s="10" t="n"/>
      <c r="E33" s="11">
        <f>SUM(E28:E32)</f>
        <v/>
      </c>
      <c r="F33" s="11">
        <f>SUM(F28:F32)</f>
        <v/>
      </c>
      <c r="G33" s="11">
        <f>SUM(G28:G32)</f>
        <v/>
      </c>
      <c r="H33" s="11">
        <f>SUM(H28:H32)</f>
        <v/>
      </c>
      <c r="I33" s="11">
        <f>SUM(I28:I32)</f>
        <v/>
      </c>
      <c r="J33" s="11">
        <f>SUM(J28:J32)</f>
        <v/>
      </c>
      <c r="K33" s="11">
        <f>SUM(K28:K32)</f>
        <v/>
      </c>
      <c r="L33" s="11">
        <f>SUM(L28:L32)</f>
        <v/>
      </c>
      <c r="M33" s="11">
        <f>SUM(M28:M32)</f>
        <v/>
      </c>
      <c r="N33" s="11">
        <f>SUM(N28:N32)</f>
        <v/>
      </c>
      <c r="O33" s="11">
        <f>SUM(O28:O32)</f>
        <v/>
      </c>
      <c r="P33" s="11">
        <f>SUM(P28:P32)</f>
        <v/>
      </c>
      <c r="Q33" s="11">
        <f>SUM(Q28:Q32)</f>
        <v/>
      </c>
      <c r="R33" s="11">
        <f>SUM(R28:R32)</f>
        <v/>
      </c>
      <c r="S33" s="11">
        <f>SUM(S28:S32)</f>
        <v/>
      </c>
      <c r="T33" s="11">
        <f>SUM(T28:T32)</f>
        <v/>
      </c>
      <c r="U33" s="10" t="n"/>
    </row>
    <row r="34">
      <c r="A34" s="5" t="n">
        <v>6</v>
      </c>
      <c r="B34" s="5" t="n">
        <v>1</v>
      </c>
      <c r="C34" s="6" t="n"/>
      <c r="D34" s="6" t="n"/>
      <c r="E34" s="7" t="n"/>
      <c r="F34" s="7" t="n"/>
      <c r="G34" s="8">
        <f>IF(E34="","",E34+F34)</f>
        <v/>
      </c>
      <c r="H34" s="8">
        <f>IF(E34="","",E34*0.15)</f>
        <v/>
      </c>
      <c r="I34" s="8">
        <f>IF(E34="","",IF(F34="",0,F34*0.13))</f>
        <v/>
      </c>
      <c r="J34" s="8">
        <f>IF(E34="","",H34+I34)</f>
        <v/>
      </c>
      <c r="K34" s="8">
        <f>IF(E34="","",J34*0.1)</f>
        <v/>
      </c>
      <c r="L34" s="8">
        <f>IF(E34="","",3000000/COUNTA(E34:E38))</f>
        <v/>
      </c>
      <c r="M34" s="8">
        <f>IF(E34="","",L34*0.1)</f>
        <v/>
      </c>
      <c r="N34" s="8">
        <f>IF(E34="","",70900/COUNTA(E34:E38))</f>
        <v/>
      </c>
      <c r="O34" s="7" t="n"/>
      <c r="P34" s="8">
        <f>IF(E34="","",IF(B34=1,50000,0))</f>
        <v/>
      </c>
      <c r="Q34" s="7" t="n"/>
      <c r="R34" s="8">
        <f>IF(E34="","",H34+I34+K34+L34+M34+N34+IF(O34="",0,O34)+P34+IF(Q34="",0,Q34))</f>
        <v/>
      </c>
      <c r="S34" s="8">
        <f>IF(E34="","",E34-(R34-I34*1.1))</f>
        <v/>
      </c>
      <c r="T34" s="8">
        <f>IF(E34="","",I34*1.1)</f>
        <v/>
      </c>
      <c r="U34" s="6" t="n"/>
    </row>
    <row r="35">
      <c r="A35" s="5" t="n">
        <v>6</v>
      </c>
      <c r="B35" s="5" t="n">
        <v>2</v>
      </c>
      <c r="C35" s="6" t="n"/>
      <c r="D35" s="6" t="n"/>
      <c r="E35" s="7" t="n"/>
      <c r="F35" s="7" t="n"/>
      <c r="G35" s="8">
        <f>IF(E35="","",E35+F35)</f>
        <v/>
      </c>
      <c r="H35" s="8">
        <f>IF(E35="","",E35*0.15)</f>
        <v/>
      </c>
      <c r="I35" s="8">
        <f>IF(E35="","",IF(F35="",0,F35*0.13))</f>
        <v/>
      </c>
      <c r="J35" s="8">
        <f>IF(E35="","",H35+I35)</f>
        <v/>
      </c>
      <c r="K35" s="8">
        <f>IF(E35="","",J35*0.1)</f>
        <v/>
      </c>
      <c r="L35" s="8">
        <f>IF(E35="","",3000000/COUNTA(E34:E38))</f>
        <v/>
      </c>
      <c r="M35" s="8">
        <f>IF(E35="","",L35*0.1)</f>
        <v/>
      </c>
      <c r="N35" s="8">
        <f>IF(E35="","",70900/COUNTA(E34:E38))</f>
        <v/>
      </c>
      <c r="O35" s="7" t="n"/>
      <c r="P35" s="8">
        <f>IF(E35="","",IF(B35=1,50000,0))</f>
        <v/>
      </c>
      <c r="Q35" s="7" t="n"/>
      <c r="R35" s="8">
        <f>IF(E35="","",H35+I35+K35+L35+M35+N35+IF(O35="",0,O35)+P35+IF(Q35="",0,Q35))</f>
        <v/>
      </c>
      <c r="S35" s="8">
        <f>IF(E35="","",E35-(R35-I35*1.1))</f>
        <v/>
      </c>
      <c r="T35" s="8">
        <f>IF(E35="","",I35*1.1)</f>
        <v/>
      </c>
      <c r="U35" s="6" t="n"/>
    </row>
    <row r="36">
      <c r="A36" s="5" t="n">
        <v>6</v>
      </c>
      <c r="B36" s="5" t="n">
        <v>3</v>
      </c>
      <c r="C36" s="6" t="n"/>
      <c r="D36" s="6" t="n"/>
      <c r="E36" s="7" t="n"/>
      <c r="F36" s="7" t="n"/>
      <c r="G36" s="8">
        <f>IF(E36="","",E36+F36)</f>
        <v/>
      </c>
      <c r="H36" s="8">
        <f>IF(E36="","",E36*0.15)</f>
        <v/>
      </c>
      <c r="I36" s="8">
        <f>IF(E36="","",IF(F36="",0,F36*0.13))</f>
        <v/>
      </c>
      <c r="J36" s="8">
        <f>IF(E36="","",H36+I36)</f>
        <v/>
      </c>
      <c r="K36" s="8">
        <f>IF(E36="","",J36*0.1)</f>
        <v/>
      </c>
      <c r="L36" s="8">
        <f>IF(E36="","",3000000/COUNTA(E34:E38))</f>
        <v/>
      </c>
      <c r="M36" s="8">
        <f>IF(E36="","",L36*0.1)</f>
        <v/>
      </c>
      <c r="N36" s="8">
        <f>IF(E36="","",70900/COUNTA(E34:E38))</f>
        <v/>
      </c>
      <c r="O36" s="7" t="n"/>
      <c r="P36" s="8">
        <f>IF(E36="","",IF(B36=1,50000,0))</f>
        <v/>
      </c>
      <c r="Q36" s="7" t="n"/>
      <c r="R36" s="8">
        <f>IF(E36="","",H36+I36+K36+L36+M36+N36+IF(O36="",0,O36)+P36+IF(Q36="",0,Q36))</f>
        <v/>
      </c>
      <c r="S36" s="8">
        <f>IF(E36="","",E36-(R36-I36*1.1))</f>
        <v/>
      </c>
      <c r="T36" s="8">
        <f>IF(E36="","",I36*1.1)</f>
        <v/>
      </c>
      <c r="U36" s="6" t="n"/>
    </row>
    <row r="37">
      <c r="A37" s="5" t="n">
        <v>6</v>
      </c>
      <c r="B37" s="5" t="n">
        <v>4</v>
      </c>
      <c r="C37" s="6" t="n"/>
      <c r="D37" s="6" t="n"/>
      <c r="E37" s="7" t="n"/>
      <c r="F37" s="7" t="n"/>
      <c r="G37" s="8">
        <f>IF(E37="","",E37+F37)</f>
        <v/>
      </c>
      <c r="H37" s="8">
        <f>IF(E37="","",E37*0.15)</f>
        <v/>
      </c>
      <c r="I37" s="8">
        <f>IF(E37="","",IF(F37="",0,F37*0.13))</f>
        <v/>
      </c>
      <c r="J37" s="8">
        <f>IF(E37="","",H37+I37)</f>
        <v/>
      </c>
      <c r="K37" s="8">
        <f>IF(E37="","",J37*0.1)</f>
        <v/>
      </c>
      <c r="L37" s="8">
        <f>IF(E37="","",3000000/COUNTA(E34:E38))</f>
        <v/>
      </c>
      <c r="M37" s="8">
        <f>IF(E37="","",L37*0.1)</f>
        <v/>
      </c>
      <c r="N37" s="8">
        <f>IF(E37="","",70900/COUNTA(E34:E38))</f>
        <v/>
      </c>
      <c r="O37" s="7" t="n"/>
      <c r="P37" s="8">
        <f>IF(E37="","",IF(B37=1,50000,0))</f>
        <v/>
      </c>
      <c r="Q37" s="7" t="n"/>
      <c r="R37" s="8">
        <f>IF(E37="","",H37+I37+K37+L37+M37+N37+IF(O37="",0,O37)+P37+IF(Q37="",0,Q37))</f>
        <v/>
      </c>
      <c r="S37" s="8">
        <f>IF(E37="","",E37-(R37-I37*1.1))</f>
        <v/>
      </c>
      <c r="T37" s="8">
        <f>IF(E37="","",I37*1.1)</f>
        <v/>
      </c>
      <c r="U37" s="6" t="n"/>
    </row>
    <row r="38">
      <c r="A38" s="5" t="n">
        <v>6</v>
      </c>
      <c r="B38" s="5" t="n">
        <v>5</v>
      </c>
      <c r="C38" s="6" t="n"/>
      <c r="D38" s="6" t="n"/>
      <c r="E38" s="7" t="n"/>
      <c r="F38" s="7" t="n"/>
      <c r="G38" s="8">
        <f>IF(E38="","",E38+F38)</f>
        <v/>
      </c>
      <c r="H38" s="8">
        <f>IF(E38="","",E38*0.15)</f>
        <v/>
      </c>
      <c r="I38" s="8">
        <f>IF(E38="","",IF(F38="",0,F38*0.13))</f>
        <v/>
      </c>
      <c r="J38" s="8">
        <f>IF(E38="","",H38+I38)</f>
        <v/>
      </c>
      <c r="K38" s="8">
        <f>IF(E38="","",J38*0.1)</f>
        <v/>
      </c>
      <c r="L38" s="8">
        <f>IF(E38="","",3000000/COUNTA(E34:E38))</f>
        <v/>
      </c>
      <c r="M38" s="8">
        <f>IF(E38="","",L38*0.1)</f>
        <v/>
      </c>
      <c r="N38" s="8">
        <f>IF(E38="","",70900/COUNTA(E34:E38))</f>
        <v/>
      </c>
      <c r="O38" s="7" t="n"/>
      <c r="P38" s="8">
        <f>IF(E38="","",IF(B38=1,50000,0))</f>
        <v/>
      </c>
      <c r="Q38" s="7" t="n"/>
      <c r="R38" s="8">
        <f>IF(E38="","",H38+I38+K38+L38+M38+N38+IF(O38="",0,O38)+P38+IF(Q38="",0,Q38))</f>
        <v/>
      </c>
      <c r="S38" s="8">
        <f>IF(E38="","",E38-(R38-I38*1.1))</f>
        <v/>
      </c>
      <c r="T38" s="8">
        <f>IF(E38="","",I38*1.1)</f>
        <v/>
      </c>
      <c r="U38" s="6" t="n"/>
    </row>
    <row r="39">
      <c r="A39" s="9" t="inlineStr">
        <is>
          <t>6월</t>
        </is>
      </c>
      <c r="B39" s="9" t="inlineStr">
        <is>
          <t>소계</t>
        </is>
      </c>
      <c r="C39" s="10" t="n"/>
      <c r="D39" s="10" t="n"/>
      <c r="E39" s="11">
        <f>SUM(E34:E38)</f>
        <v/>
      </c>
      <c r="F39" s="11">
        <f>SUM(F34:F38)</f>
        <v/>
      </c>
      <c r="G39" s="11">
        <f>SUM(G34:G38)</f>
        <v/>
      </c>
      <c r="H39" s="11">
        <f>SUM(H34:H38)</f>
        <v/>
      </c>
      <c r="I39" s="11">
        <f>SUM(I34:I38)</f>
        <v/>
      </c>
      <c r="J39" s="11">
        <f>SUM(J34:J38)</f>
        <v/>
      </c>
      <c r="K39" s="11">
        <f>SUM(K34:K38)</f>
        <v/>
      </c>
      <c r="L39" s="11">
        <f>SUM(L34:L38)</f>
        <v/>
      </c>
      <c r="M39" s="11">
        <f>SUM(M34:M38)</f>
        <v/>
      </c>
      <c r="N39" s="11">
        <f>SUM(N34:N38)</f>
        <v/>
      </c>
      <c r="O39" s="11">
        <f>SUM(O34:O38)</f>
        <v/>
      </c>
      <c r="P39" s="11">
        <f>SUM(P34:P38)</f>
        <v/>
      </c>
      <c r="Q39" s="11">
        <f>SUM(Q34:Q38)</f>
        <v/>
      </c>
      <c r="R39" s="11">
        <f>SUM(R34:R38)</f>
        <v/>
      </c>
      <c r="S39" s="11">
        <f>SUM(S34:S38)</f>
        <v/>
      </c>
      <c r="T39" s="11">
        <f>SUM(T34:T38)</f>
        <v/>
      </c>
      <c r="U39" s="10" t="n"/>
    </row>
    <row r="40">
      <c r="A40" s="5" t="n">
        <v>7</v>
      </c>
      <c r="B40" s="5" t="n">
        <v>1</v>
      </c>
      <c r="C40" s="6" t="n"/>
      <c r="D40" s="6" t="n"/>
      <c r="E40" s="7" t="n"/>
      <c r="F40" s="7" t="n"/>
      <c r="G40" s="8">
        <f>IF(E40="","",E40+F40)</f>
        <v/>
      </c>
      <c r="H40" s="8">
        <f>IF(E40="","",E40*0.15)</f>
        <v/>
      </c>
      <c r="I40" s="8">
        <f>IF(E40="","",IF(F40="",0,F40*0.13))</f>
        <v/>
      </c>
      <c r="J40" s="8">
        <f>IF(E40="","",H40+I40)</f>
        <v/>
      </c>
      <c r="K40" s="8">
        <f>IF(E40="","",J40*0.1)</f>
        <v/>
      </c>
      <c r="L40" s="8">
        <f>IF(E40="","",3000000/COUNTA(E40:E44))</f>
        <v/>
      </c>
      <c r="M40" s="8">
        <f>IF(E40="","",L40*0.1)</f>
        <v/>
      </c>
      <c r="N40" s="8">
        <f>IF(E40="","",70900/COUNTA(E40:E44))</f>
        <v/>
      </c>
      <c r="O40" s="7" t="n"/>
      <c r="P40" s="8">
        <f>IF(E40="","",IF(B40=1,50000,0))</f>
        <v/>
      </c>
      <c r="Q40" s="7" t="n"/>
      <c r="R40" s="8">
        <f>IF(E40="","",H40+I40+K40+L40+M40+N40+IF(O40="",0,O40)+P40+IF(Q40="",0,Q40))</f>
        <v/>
      </c>
      <c r="S40" s="8">
        <f>IF(E40="","",E40-(R40-I40*1.1))</f>
        <v/>
      </c>
      <c r="T40" s="8">
        <f>IF(E40="","",I40*1.1)</f>
        <v/>
      </c>
      <c r="U40" s="6" t="n"/>
    </row>
    <row r="41">
      <c r="A41" s="5" t="n">
        <v>7</v>
      </c>
      <c r="B41" s="5" t="n">
        <v>2</v>
      </c>
      <c r="C41" s="6" t="n"/>
      <c r="D41" s="6" t="n"/>
      <c r="E41" s="7" t="n"/>
      <c r="F41" s="7" t="n"/>
      <c r="G41" s="8">
        <f>IF(E41="","",E41+F41)</f>
        <v/>
      </c>
      <c r="H41" s="8">
        <f>IF(E41="","",E41*0.15)</f>
        <v/>
      </c>
      <c r="I41" s="8">
        <f>IF(E41="","",IF(F41="",0,F41*0.13))</f>
        <v/>
      </c>
      <c r="J41" s="8">
        <f>IF(E41="","",H41+I41)</f>
        <v/>
      </c>
      <c r="K41" s="8">
        <f>IF(E41="","",J41*0.1)</f>
        <v/>
      </c>
      <c r="L41" s="8">
        <f>IF(E41="","",3000000/COUNTA(E40:E44))</f>
        <v/>
      </c>
      <c r="M41" s="8">
        <f>IF(E41="","",L41*0.1)</f>
        <v/>
      </c>
      <c r="N41" s="8">
        <f>IF(E41="","",70900/COUNTA(E40:E44))</f>
        <v/>
      </c>
      <c r="O41" s="7" t="n"/>
      <c r="P41" s="8">
        <f>IF(E41="","",IF(B41=1,50000,0))</f>
        <v/>
      </c>
      <c r="Q41" s="7" t="n"/>
      <c r="R41" s="8">
        <f>IF(E41="","",H41+I41+K41+L41+M41+N41+IF(O41="",0,O41)+P41+IF(Q41="",0,Q41))</f>
        <v/>
      </c>
      <c r="S41" s="8">
        <f>IF(E41="","",E41-(R41-I41*1.1))</f>
        <v/>
      </c>
      <c r="T41" s="8">
        <f>IF(E41="","",I41*1.1)</f>
        <v/>
      </c>
      <c r="U41" s="6" t="n"/>
    </row>
    <row r="42">
      <c r="A42" s="5" t="n">
        <v>7</v>
      </c>
      <c r="B42" s="5" t="n">
        <v>3</v>
      </c>
      <c r="C42" s="6" t="n"/>
      <c r="D42" s="6" t="n"/>
      <c r="E42" s="7" t="n"/>
      <c r="F42" s="7" t="n"/>
      <c r="G42" s="8">
        <f>IF(E42="","",E42+F42)</f>
        <v/>
      </c>
      <c r="H42" s="8">
        <f>IF(E42="","",E42*0.15)</f>
        <v/>
      </c>
      <c r="I42" s="8">
        <f>IF(E42="","",IF(F42="",0,F42*0.13))</f>
        <v/>
      </c>
      <c r="J42" s="8">
        <f>IF(E42="","",H42+I42)</f>
        <v/>
      </c>
      <c r="K42" s="8">
        <f>IF(E42="","",J42*0.1)</f>
        <v/>
      </c>
      <c r="L42" s="8">
        <f>IF(E42="","",3000000/COUNTA(E40:E44))</f>
        <v/>
      </c>
      <c r="M42" s="8">
        <f>IF(E42="","",L42*0.1)</f>
        <v/>
      </c>
      <c r="N42" s="8">
        <f>IF(E42="","",70900/COUNTA(E40:E44))</f>
        <v/>
      </c>
      <c r="O42" s="7" t="n"/>
      <c r="P42" s="8">
        <f>IF(E42="","",IF(B42=1,50000,0))</f>
        <v/>
      </c>
      <c r="Q42" s="7" t="n"/>
      <c r="R42" s="8">
        <f>IF(E42="","",H42+I42+K42+L42+M42+N42+IF(O42="",0,O42)+P42+IF(Q42="",0,Q42))</f>
        <v/>
      </c>
      <c r="S42" s="8">
        <f>IF(E42="","",E42-(R42-I42*1.1))</f>
        <v/>
      </c>
      <c r="T42" s="8">
        <f>IF(E42="","",I42*1.1)</f>
        <v/>
      </c>
      <c r="U42" s="6" t="n"/>
    </row>
    <row r="43">
      <c r="A43" s="5" t="n">
        <v>7</v>
      </c>
      <c r="B43" s="5" t="n">
        <v>4</v>
      </c>
      <c r="C43" s="6" t="n"/>
      <c r="D43" s="6" t="n"/>
      <c r="E43" s="7" t="n"/>
      <c r="F43" s="7" t="n"/>
      <c r="G43" s="8">
        <f>IF(E43="","",E43+F43)</f>
        <v/>
      </c>
      <c r="H43" s="8">
        <f>IF(E43="","",E43*0.15)</f>
        <v/>
      </c>
      <c r="I43" s="8">
        <f>IF(E43="","",IF(F43="",0,F43*0.13))</f>
        <v/>
      </c>
      <c r="J43" s="8">
        <f>IF(E43="","",H43+I43)</f>
        <v/>
      </c>
      <c r="K43" s="8">
        <f>IF(E43="","",J43*0.1)</f>
        <v/>
      </c>
      <c r="L43" s="8">
        <f>IF(E43="","",3000000/COUNTA(E40:E44))</f>
        <v/>
      </c>
      <c r="M43" s="8">
        <f>IF(E43="","",L43*0.1)</f>
        <v/>
      </c>
      <c r="N43" s="8">
        <f>IF(E43="","",70900/COUNTA(E40:E44))</f>
        <v/>
      </c>
      <c r="O43" s="7" t="n"/>
      <c r="P43" s="8">
        <f>IF(E43="","",IF(B43=1,50000,0))</f>
        <v/>
      </c>
      <c r="Q43" s="7" t="n"/>
      <c r="R43" s="8">
        <f>IF(E43="","",H43+I43+K43+L43+M43+N43+IF(O43="",0,O43)+P43+IF(Q43="",0,Q43))</f>
        <v/>
      </c>
      <c r="S43" s="8">
        <f>IF(E43="","",E43-(R43-I43*1.1))</f>
        <v/>
      </c>
      <c r="T43" s="8">
        <f>IF(E43="","",I43*1.1)</f>
        <v/>
      </c>
      <c r="U43" s="6" t="n"/>
    </row>
    <row r="44">
      <c r="A44" s="5" t="n">
        <v>7</v>
      </c>
      <c r="B44" s="5" t="n">
        <v>5</v>
      </c>
      <c r="C44" s="6" t="n"/>
      <c r="D44" s="6" t="n"/>
      <c r="E44" s="7" t="n"/>
      <c r="F44" s="7" t="n"/>
      <c r="G44" s="8">
        <f>IF(E44="","",E44+F44)</f>
        <v/>
      </c>
      <c r="H44" s="8">
        <f>IF(E44="","",E44*0.15)</f>
        <v/>
      </c>
      <c r="I44" s="8">
        <f>IF(E44="","",IF(F44="",0,F44*0.13))</f>
        <v/>
      </c>
      <c r="J44" s="8">
        <f>IF(E44="","",H44+I44)</f>
        <v/>
      </c>
      <c r="K44" s="8">
        <f>IF(E44="","",J44*0.1)</f>
        <v/>
      </c>
      <c r="L44" s="8">
        <f>IF(E44="","",3000000/COUNTA(E40:E44))</f>
        <v/>
      </c>
      <c r="M44" s="8">
        <f>IF(E44="","",L44*0.1)</f>
        <v/>
      </c>
      <c r="N44" s="8">
        <f>IF(E44="","",70900/COUNTA(E40:E44))</f>
        <v/>
      </c>
      <c r="O44" s="7" t="n"/>
      <c r="P44" s="8">
        <f>IF(E44="","",IF(B44=1,50000,0))</f>
        <v/>
      </c>
      <c r="Q44" s="7" t="n"/>
      <c r="R44" s="8">
        <f>IF(E44="","",H44+I44+K44+L44+M44+N44+IF(O44="",0,O44)+P44+IF(Q44="",0,Q44))</f>
        <v/>
      </c>
      <c r="S44" s="8">
        <f>IF(E44="","",E44-(R44-I44*1.1))</f>
        <v/>
      </c>
      <c r="T44" s="8">
        <f>IF(E44="","",I44*1.1)</f>
        <v/>
      </c>
      <c r="U44" s="6" t="n"/>
    </row>
    <row r="45">
      <c r="A45" s="9" t="inlineStr">
        <is>
          <t>7월</t>
        </is>
      </c>
      <c r="B45" s="9" t="inlineStr">
        <is>
          <t>소계</t>
        </is>
      </c>
      <c r="C45" s="10" t="n"/>
      <c r="D45" s="10" t="n"/>
      <c r="E45" s="11">
        <f>SUM(E40:E44)</f>
        <v/>
      </c>
      <c r="F45" s="11">
        <f>SUM(F40:F44)</f>
        <v/>
      </c>
      <c r="G45" s="11">
        <f>SUM(G40:G44)</f>
        <v/>
      </c>
      <c r="H45" s="11">
        <f>SUM(H40:H44)</f>
        <v/>
      </c>
      <c r="I45" s="11">
        <f>SUM(I40:I44)</f>
        <v/>
      </c>
      <c r="J45" s="11">
        <f>SUM(J40:J44)</f>
        <v/>
      </c>
      <c r="K45" s="11">
        <f>SUM(K40:K44)</f>
        <v/>
      </c>
      <c r="L45" s="11">
        <f>SUM(L40:L44)</f>
        <v/>
      </c>
      <c r="M45" s="11">
        <f>SUM(M40:M44)</f>
        <v/>
      </c>
      <c r="N45" s="11">
        <f>SUM(N40:N44)</f>
        <v/>
      </c>
      <c r="O45" s="11">
        <f>SUM(O40:O44)</f>
        <v/>
      </c>
      <c r="P45" s="11">
        <f>SUM(P40:P44)</f>
        <v/>
      </c>
      <c r="Q45" s="11">
        <f>SUM(Q40:Q44)</f>
        <v/>
      </c>
      <c r="R45" s="11">
        <f>SUM(R40:R44)</f>
        <v/>
      </c>
      <c r="S45" s="11">
        <f>SUM(S40:S44)</f>
        <v/>
      </c>
      <c r="T45" s="11">
        <f>SUM(T40:T44)</f>
        <v/>
      </c>
      <c r="U45" s="10" t="n"/>
    </row>
    <row r="46">
      <c r="A46" s="5" t="n">
        <v>8</v>
      </c>
      <c r="B46" s="5" t="n">
        <v>1</v>
      </c>
      <c r="C46" s="6" t="n"/>
      <c r="D46" s="6" t="n"/>
      <c r="E46" s="7" t="n"/>
      <c r="F46" s="7" t="n"/>
      <c r="G46" s="8">
        <f>IF(E46="","",E46+F46)</f>
        <v/>
      </c>
      <c r="H46" s="8">
        <f>IF(E46="","",E46*0.15)</f>
        <v/>
      </c>
      <c r="I46" s="8">
        <f>IF(E46="","",IF(F46="",0,F46*0.13))</f>
        <v/>
      </c>
      <c r="J46" s="8">
        <f>IF(E46="","",H46+I46)</f>
        <v/>
      </c>
      <c r="K46" s="8">
        <f>IF(E46="","",J46*0.1)</f>
        <v/>
      </c>
      <c r="L46" s="8">
        <f>IF(E46="","",3000000/COUNTA(E46:E50))</f>
        <v/>
      </c>
      <c r="M46" s="8">
        <f>IF(E46="","",L46*0.1)</f>
        <v/>
      </c>
      <c r="N46" s="8">
        <f>IF(E46="","",70900/COUNTA(E46:E50))</f>
        <v/>
      </c>
      <c r="O46" s="7" t="n"/>
      <c r="P46" s="8">
        <f>IF(E46="","",IF(B46=1,50000,0))</f>
        <v/>
      </c>
      <c r="Q46" s="7" t="n"/>
      <c r="R46" s="8">
        <f>IF(E46="","",H46+I46+K46+L46+M46+N46+IF(O46="",0,O46)+P46+IF(Q46="",0,Q46))</f>
        <v/>
      </c>
      <c r="S46" s="8">
        <f>IF(E46="","",E46-(R46-I46*1.1))</f>
        <v/>
      </c>
      <c r="T46" s="8">
        <f>IF(E46="","",I46*1.1)</f>
        <v/>
      </c>
      <c r="U46" s="6" t="n"/>
    </row>
    <row r="47">
      <c r="A47" s="5" t="n">
        <v>8</v>
      </c>
      <c r="B47" s="5" t="n">
        <v>2</v>
      </c>
      <c r="C47" s="6" t="n"/>
      <c r="D47" s="6" t="n"/>
      <c r="E47" s="7" t="n"/>
      <c r="F47" s="7" t="n"/>
      <c r="G47" s="8">
        <f>IF(E47="","",E47+F47)</f>
        <v/>
      </c>
      <c r="H47" s="8">
        <f>IF(E47="","",E47*0.15)</f>
        <v/>
      </c>
      <c r="I47" s="8">
        <f>IF(E47="","",IF(F47="",0,F47*0.13))</f>
        <v/>
      </c>
      <c r="J47" s="8">
        <f>IF(E47="","",H47+I47)</f>
        <v/>
      </c>
      <c r="K47" s="8">
        <f>IF(E47="","",J47*0.1)</f>
        <v/>
      </c>
      <c r="L47" s="8">
        <f>IF(E47="","",3000000/COUNTA(E46:E50))</f>
        <v/>
      </c>
      <c r="M47" s="8">
        <f>IF(E47="","",L47*0.1)</f>
        <v/>
      </c>
      <c r="N47" s="8">
        <f>IF(E47="","",70900/COUNTA(E46:E50))</f>
        <v/>
      </c>
      <c r="O47" s="7" t="n"/>
      <c r="P47" s="8">
        <f>IF(E47="","",IF(B47=1,50000,0))</f>
        <v/>
      </c>
      <c r="Q47" s="7" t="n"/>
      <c r="R47" s="8">
        <f>IF(E47="","",H47+I47+K47+L47+M47+N47+IF(O47="",0,O47)+P47+IF(Q47="",0,Q47))</f>
        <v/>
      </c>
      <c r="S47" s="8">
        <f>IF(E47="","",E47-(R47-I47*1.1))</f>
        <v/>
      </c>
      <c r="T47" s="8">
        <f>IF(E47="","",I47*1.1)</f>
        <v/>
      </c>
      <c r="U47" s="6" t="n"/>
    </row>
    <row r="48">
      <c r="A48" s="5" t="n">
        <v>8</v>
      </c>
      <c r="B48" s="5" t="n">
        <v>3</v>
      </c>
      <c r="C48" s="6" t="n"/>
      <c r="D48" s="6" t="n"/>
      <c r="E48" s="7" t="n"/>
      <c r="F48" s="7" t="n"/>
      <c r="G48" s="8">
        <f>IF(E48="","",E48+F48)</f>
        <v/>
      </c>
      <c r="H48" s="8">
        <f>IF(E48="","",E48*0.15)</f>
        <v/>
      </c>
      <c r="I48" s="8">
        <f>IF(E48="","",IF(F48="",0,F48*0.13))</f>
        <v/>
      </c>
      <c r="J48" s="8">
        <f>IF(E48="","",H48+I48)</f>
        <v/>
      </c>
      <c r="K48" s="8">
        <f>IF(E48="","",J48*0.1)</f>
        <v/>
      </c>
      <c r="L48" s="8">
        <f>IF(E48="","",3000000/COUNTA(E46:E50))</f>
        <v/>
      </c>
      <c r="M48" s="8">
        <f>IF(E48="","",L48*0.1)</f>
        <v/>
      </c>
      <c r="N48" s="8">
        <f>IF(E48="","",70900/COUNTA(E46:E50))</f>
        <v/>
      </c>
      <c r="O48" s="7" t="n"/>
      <c r="P48" s="8">
        <f>IF(E48="","",IF(B48=1,50000,0))</f>
        <v/>
      </c>
      <c r="Q48" s="7" t="n"/>
      <c r="R48" s="8">
        <f>IF(E48="","",H48+I48+K48+L48+M48+N48+IF(O48="",0,O48)+P48+IF(Q48="",0,Q48))</f>
        <v/>
      </c>
      <c r="S48" s="8">
        <f>IF(E48="","",E48-(R48-I48*1.1))</f>
        <v/>
      </c>
      <c r="T48" s="8">
        <f>IF(E48="","",I48*1.1)</f>
        <v/>
      </c>
      <c r="U48" s="6" t="n"/>
    </row>
    <row r="49">
      <c r="A49" s="5" t="n">
        <v>8</v>
      </c>
      <c r="B49" s="5" t="n">
        <v>4</v>
      </c>
      <c r="C49" s="6" t="n"/>
      <c r="D49" s="6" t="n"/>
      <c r="E49" s="7" t="n"/>
      <c r="F49" s="7" t="n"/>
      <c r="G49" s="8">
        <f>IF(E49="","",E49+F49)</f>
        <v/>
      </c>
      <c r="H49" s="8">
        <f>IF(E49="","",E49*0.15)</f>
        <v/>
      </c>
      <c r="I49" s="8">
        <f>IF(E49="","",IF(F49="",0,F49*0.13))</f>
        <v/>
      </c>
      <c r="J49" s="8">
        <f>IF(E49="","",H49+I49)</f>
        <v/>
      </c>
      <c r="K49" s="8">
        <f>IF(E49="","",J49*0.1)</f>
        <v/>
      </c>
      <c r="L49" s="8">
        <f>IF(E49="","",3000000/COUNTA(E46:E50))</f>
        <v/>
      </c>
      <c r="M49" s="8">
        <f>IF(E49="","",L49*0.1)</f>
        <v/>
      </c>
      <c r="N49" s="8">
        <f>IF(E49="","",70900/COUNTA(E46:E50))</f>
        <v/>
      </c>
      <c r="O49" s="7" t="n"/>
      <c r="P49" s="8">
        <f>IF(E49="","",IF(B49=1,50000,0))</f>
        <v/>
      </c>
      <c r="Q49" s="7" t="n"/>
      <c r="R49" s="8">
        <f>IF(E49="","",H49+I49+K49+L49+M49+N49+IF(O49="",0,O49)+P49+IF(Q49="",0,Q49))</f>
        <v/>
      </c>
      <c r="S49" s="8">
        <f>IF(E49="","",E49-(R49-I49*1.1))</f>
        <v/>
      </c>
      <c r="T49" s="8">
        <f>IF(E49="","",I49*1.1)</f>
        <v/>
      </c>
      <c r="U49" s="6" t="n"/>
    </row>
    <row r="50">
      <c r="A50" s="5" t="n">
        <v>8</v>
      </c>
      <c r="B50" s="5" t="n">
        <v>5</v>
      </c>
      <c r="C50" s="6" t="n"/>
      <c r="D50" s="6" t="n"/>
      <c r="E50" s="7" t="n"/>
      <c r="F50" s="7" t="n"/>
      <c r="G50" s="8">
        <f>IF(E50="","",E50+F50)</f>
        <v/>
      </c>
      <c r="H50" s="8">
        <f>IF(E50="","",E50*0.15)</f>
        <v/>
      </c>
      <c r="I50" s="8">
        <f>IF(E50="","",IF(F50="",0,F50*0.13))</f>
        <v/>
      </c>
      <c r="J50" s="8">
        <f>IF(E50="","",H50+I50)</f>
        <v/>
      </c>
      <c r="K50" s="8">
        <f>IF(E50="","",J50*0.1)</f>
        <v/>
      </c>
      <c r="L50" s="8">
        <f>IF(E50="","",3000000/COUNTA(E46:E50))</f>
        <v/>
      </c>
      <c r="M50" s="8">
        <f>IF(E50="","",L50*0.1)</f>
        <v/>
      </c>
      <c r="N50" s="8">
        <f>IF(E50="","",70900/COUNTA(E46:E50))</f>
        <v/>
      </c>
      <c r="O50" s="7" t="n"/>
      <c r="P50" s="8">
        <f>IF(E50="","",IF(B50=1,50000,0))</f>
        <v/>
      </c>
      <c r="Q50" s="7" t="n"/>
      <c r="R50" s="8">
        <f>IF(E50="","",H50+I50+K50+L50+M50+N50+IF(O50="",0,O50)+P50+IF(Q50="",0,Q50))</f>
        <v/>
      </c>
      <c r="S50" s="8">
        <f>IF(E50="","",E50-(R50-I50*1.1))</f>
        <v/>
      </c>
      <c r="T50" s="8">
        <f>IF(E50="","",I50*1.1)</f>
        <v/>
      </c>
      <c r="U50" s="6" t="n"/>
    </row>
    <row r="51">
      <c r="A51" s="9" t="inlineStr">
        <is>
          <t>8월</t>
        </is>
      </c>
      <c r="B51" s="9" t="inlineStr">
        <is>
          <t>소계</t>
        </is>
      </c>
      <c r="C51" s="10" t="n"/>
      <c r="D51" s="10" t="n"/>
      <c r="E51" s="11">
        <f>SUM(E46:E50)</f>
        <v/>
      </c>
      <c r="F51" s="11">
        <f>SUM(F46:F50)</f>
        <v/>
      </c>
      <c r="G51" s="11">
        <f>SUM(G46:G50)</f>
        <v/>
      </c>
      <c r="H51" s="11">
        <f>SUM(H46:H50)</f>
        <v/>
      </c>
      <c r="I51" s="11">
        <f>SUM(I46:I50)</f>
        <v/>
      </c>
      <c r="J51" s="11">
        <f>SUM(J46:J50)</f>
        <v/>
      </c>
      <c r="K51" s="11">
        <f>SUM(K46:K50)</f>
        <v/>
      </c>
      <c r="L51" s="11">
        <f>SUM(L46:L50)</f>
        <v/>
      </c>
      <c r="M51" s="11">
        <f>SUM(M46:M50)</f>
        <v/>
      </c>
      <c r="N51" s="11">
        <f>SUM(N46:N50)</f>
        <v/>
      </c>
      <c r="O51" s="11">
        <f>SUM(O46:O50)</f>
        <v/>
      </c>
      <c r="P51" s="11">
        <f>SUM(P46:P50)</f>
        <v/>
      </c>
      <c r="Q51" s="11">
        <f>SUM(Q46:Q50)</f>
        <v/>
      </c>
      <c r="R51" s="11">
        <f>SUM(R46:R50)</f>
        <v/>
      </c>
      <c r="S51" s="11">
        <f>SUM(S46:S50)</f>
        <v/>
      </c>
      <c r="T51" s="11">
        <f>SUM(T46:T50)</f>
        <v/>
      </c>
      <c r="U51" s="10" t="n"/>
    </row>
    <row r="52">
      <c r="A52" s="5" t="n">
        <v>9</v>
      </c>
      <c r="B52" s="5" t="n">
        <v>1</v>
      </c>
      <c r="C52" s="6" t="n"/>
      <c r="D52" s="6" t="n"/>
      <c r="E52" s="7" t="n"/>
      <c r="F52" s="7" t="n"/>
      <c r="G52" s="8">
        <f>IF(E52="","",E52+F52)</f>
        <v/>
      </c>
      <c r="H52" s="8">
        <f>IF(E52="","",E52*0.15)</f>
        <v/>
      </c>
      <c r="I52" s="8">
        <f>IF(E52="","",IF(F52="",0,F52*0.13))</f>
        <v/>
      </c>
      <c r="J52" s="8">
        <f>IF(E52="","",H52+I52)</f>
        <v/>
      </c>
      <c r="K52" s="8">
        <f>IF(E52="","",J52*0.1)</f>
        <v/>
      </c>
      <c r="L52" s="8">
        <f>IF(E52="","",3000000/COUNTA(E52:E56))</f>
        <v/>
      </c>
      <c r="M52" s="8">
        <f>IF(E52="","",L52*0.1)</f>
        <v/>
      </c>
      <c r="N52" s="8">
        <f>IF(E52="","",70900/COUNTA(E52:E56))</f>
        <v/>
      </c>
      <c r="O52" s="7" t="n"/>
      <c r="P52" s="8">
        <f>IF(E52="","",IF(B52=1,50000,0))</f>
        <v/>
      </c>
      <c r="Q52" s="7" t="n"/>
      <c r="R52" s="8">
        <f>IF(E52="","",H52+I52+K52+L52+M52+N52+IF(O52="",0,O52)+P52+IF(Q52="",0,Q52))</f>
        <v/>
      </c>
      <c r="S52" s="8">
        <f>IF(E52="","",E52-(R52-I52*1.1))</f>
        <v/>
      </c>
      <c r="T52" s="8">
        <f>IF(E52="","",I52*1.1)</f>
        <v/>
      </c>
      <c r="U52" s="6" t="n"/>
    </row>
    <row r="53">
      <c r="A53" s="5" t="n">
        <v>9</v>
      </c>
      <c r="B53" s="5" t="n">
        <v>2</v>
      </c>
      <c r="C53" s="6" t="n"/>
      <c r="D53" s="6" t="n"/>
      <c r="E53" s="7" t="n"/>
      <c r="F53" s="7" t="n"/>
      <c r="G53" s="8">
        <f>IF(E53="","",E53+F53)</f>
        <v/>
      </c>
      <c r="H53" s="8">
        <f>IF(E53="","",E53*0.15)</f>
        <v/>
      </c>
      <c r="I53" s="8">
        <f>IF(E53="","",IF(F53="",0,F53*0.13))</f>
        <v/>
      </c>
      <c r="J53" s="8">
        <f>IF(E53="","",H53+I53)</f>
        <v/>
      </c>
      <c r="K53" s="8">
        <f>IF(E53="","",J53*0.1)</f>
        <v/>
      </c>
      <c r="L53" s="8">
        <f>IF(E53="","",3000000/COUNTA(E52:E56))</f>
        <v/>
      </c>
      <c r="M53" s="8">
        <f>IF(E53="","",L53*0.1)</f>
        <v/>
      </c>
      <c r="N53" s="8">
        <f>IF(E53="","",70900/COUNTA(E52:E56))</f>
        <v/>
      </c>
      <c r="O53" s="7" t="n"/>
      <c r="P53" s="8">
        <f>IF(E53="","",IF(B53=1,50000,0))</f>
        <v/>
      </c>
      <c r="Q53" s="7" t="n"/>
      <c r="R53" s="8">
        <f>IF(E53="","",H53+I53+K53+L53+M53+N53+IF(O53="",0,O53)+P53+IF(Q53="",0,Q53))</f>
        <v/>
      </c>
      <c r="S53" s="8">
        <f>IF(E53="","",E53-(R53-I53*1.1))</f>
        <v/>
      </c>
      <c r="T53" s="8">
        <f>IF(E53="","",I53*1.1)</f>
        <v/>
      </c>
      <c r="U53" s="6" t="n"/>
    </row>
    <row r="54">
      <c r="A54" s="5" t="n">
        <v>9</v>
      </c>
      <c r="B54" s="5" t="n">
        <v>3</v>
      </c>
      <c r="C54" s="6" t="n"/>
      <c r="D54" s="6" t="n"/>
      <c r="E54" s="7" t="n"/>
      <c r="F54" s="7" t="n"/>
      <c r="G54" s="8">
        <f>IF(E54="","",E54+F54)</f>
        <v/>
      </c>
      <c r="H54" s="8">
        <f>IF(E54="","",E54*0.15)</f>
        <v/>
      </c>
      <c r="I54" s="8">
        <f>IF(E54="","",IF(F54="",0,F54*0.13))</f>
        <v/>
      </c>
      <c r="J54" s="8">
        <f>IF(E54="","",H54+I54)</f>
        <v/>
      </c>
      <c r="K54" s="8">
        <f>IF(E54="","",J54*0.1)</f>
        <v/>
      </c>
      <c r="L54" s="8">
        <f>IF(E54="","",3000000/COUNTA(E52:E56))</f>
        <v/>
      </c>
      <c r="M54" s="8">
        <f>IF(E54="","",L54*0.1)</f>
        <v/>
      </c>
      <c r="N54" s="8">
        <f>IF(E54="","",70900/COUNTA(E52:E56))</f>
        <v/>
      </c>
      <c r="O54" s="7" t="n"/>
      <c r="P54" s="8">
        <f>IF(E54="","",IF(B54=1,50000,0))</f>
        <v/>
      </c>
      <c r="Q54" s="7" t="n"/>
      <c r="R54" s="8">
        <f>IF(E54="","",H54+I54+K54+L54+M54+N54+IF(O54="",0,O54)+P54+IF(Q54="",0,Q54))</f>
        <v/>
      </c>
      <c r="S54" s="8">
        <f>IF(E54="","",E54-(R54-I54*1.1))</f>
        <v/>
      </c>
      <c r="T54" s="8">
        <f>IF(E54="","",I54*1.1)</f>
        <v/>
      </c>
      <c r="U54" s="6" t="n"/>
    </row>
    <row r="55">
      <c r="A55" s="5" t="n">
        <v>9</v>
      </c>
      <c r="B55" s="5" t="n">
        <v>4</v>
      </c>
      <c r="C55" s="6" t="n"/>
      <c r="D55" s="6" t="n"/>
      <c r="E55" s="7" t="n"/>
      <c r="F55" s="7" t="n"/>
      <c r="G55" s="8">
        <f>IF(E55="","",E55+F55)</f>
        <v/>
      </c>
      <c r="H55" s="8">
        <f>IF(E55="","",E55*0.15)</f>
        <v/>
      </c>
      <c r="I55" s="8">
        <f>IF(E55="","",IF(F55="",0,F55*0.13))</f>
        <v/>
      </c>
      <c r="J55" s="8">
        <f>IF(E55="","",H55+I55)</f>
        <v/>
      </c>
      <c r="K55" s="8">
        <f>IF(E55="","",J55*0.1)</f>
        <v/>
      </c>
      <c r="L55" s="8">
        <f>IF(E55="","",3000000/COUNTA(E52:E56))</f>
        <v/>
      </c>
      <c r="M55" s="8">
        <f>IF(E55="","",L55*0.1)</f>
        <v/>
      </c>
      <c r="N55" s="8">
        <f>IF(E55="","",70900/COUNTA(E52:E56))</f>
        <v/>
      </c>
      <c r="O55" s="7" t="n"/>
      <c r="P55" s="8">
        <f>IF(E55="","",IF(B55=1,50000,0))</f>
        <v/>
      </c>
      <c r="Q55" s="7" t="n"/>
      <c r="R55" s="8">
        <f>IF(E55="","",H55+I55+K55+L55+M55+N55+IF(O55="",0,O55)+P55+IF(Q55="",0,Q55))</f>
        <v/>
      </c>
      <c r="S55" s="8">
        <f>IF(E55="","",E55-(R55-I55*1.1))</f>
        <v/>
      </c>
      <c r="T55" s="8">
        <f>IF(E55="","",I55*1.1)</f>
        <v/>
      </c>
      <c r="U55" s="6" t="n"/>
    </row>
    <row r="56">
      <c r="A56" s="5" t="n">
        <v>9</v>
      </c>
      <c r="B56" s="5" t="n">
        <v>5</v>
      </c>
      <c r="C56" s="6" t="n"/>
      <c r="D56" s="6" t="n"/>
      <c r="E56" s="7" t="n"/>
      <c r="F56" s="7" t="n"/>
      <c r="G56" s="8">
        <f>IF(E56="","",E56+F56)</f>
        <v/>
      </c>
      <c r="H56" s="8">
        <f>IF(E56="","",E56*0.15)</f>
        <v/>
      </c>
      <c r="I56" s="8">
        <f>IF(E56="","",IF(F56="",0,F56*0.13))</f>
        <v/>
      </c>
      <c r="J56" s="8">
        <f>IF(E56="","",H56+I56)</f>
        <v/>
      </c>
      <c r="K56" s="8">
        <f>IF(E56="","",J56*0.1)</f>
        <v/>
      </c>
      <c r="L56" s="8">
        <f>IF(E56="","",3000000/COUNTA(E52:E56))</f>
        <v/>
      </c>
      <c r="M56" s="8">
        <f>IF(E56="","",L56*0.1)</f>
        <v/>
      </c>
      <c r="N56" s="8">
        <f>IF(E56="","",70900/COUNTA(E52:E56))</f>
        <v/>
      </c>
      <c r="O56" s="7" t="n"/>
      <c r="P56" s="8">
        <f>IF(E56="","",IF(B56=1,50000,0))</f>
        <v/>
      </c>
      <c r="Q56" s="7" t="n"/>
      <c r="R56" s="8">
        <f>IF(E56="","",H56+I56+K56+L56+M56+N56+IF(O56="",0,O56)+P56+IF(Q56="",0,Q56))</f>
        <v/>
      </c>
      <c r="S56" s="8">
        <f>IF(E56="","",E56-(R56-I56*1.1))</f>
        <v/>
      </c>
      <c r="T56" s="8">
        <f>IF(E56="","",I56*1.1)</f>
        <v/>
      </c>
      <c r="U56" s="6" t="n"/>
    </row>
    <row r="57">
      <c r="A57" s="9" t="inlineStr">
        <is>
          <t>9월</t>
        </is>
      </c>
      <c r="B57" s="9" t="inlineStr">
        <is>
          <t>소계</t>
        </is>
      </c>
      <c r="C57" s="10" t="n"/>
      <c r="D57" s="10" t="n"/>
      <c r="E57" s="11">
        <f>SUM(E52:E56)</f>
        <v/>
      </c>
      <c r="F57" s="11">
        <f>SUM(F52:F56)</f>
        <v/>
      </c>
      <c r="G57" s="11">
        <f>SUM(G52:G56)</f>
        <v/>
      </c>
      <c r="H57" s="11">
        <f>SUM(H52:H56)</f>
        <v/>
      </c>
      <c r="I57" s="11">
        <f>SUM(I52:I56)</f>
        <v/>
      </c>
      <c r="J57" s="11">
        <f>SUM(J52:J56)</f>
        <v/>
      </c>
      <c r="K57" s="11">
        <f>SUM(K52:K56)</f>
        <v/>
      </c>
      <c r="L57" s="11">
        <f>SUM(L52:L56)</f>
        <v/>
      </c>
      <c r="M57" s="11">
        <f>SUM(M52:M56)</f>
        <v/>
      </c>
      <c r="N57" s="11">
        <f>SUM(N52:N56)</f>
        <v/>
      </c>
      <c r="O57" s="11">
        <f>SUM(O52:O56)</f>
        <v/>
      </c>
      <c r="P57" s="11">
        <f>SUM(P52:P56)</f>
        <v/>
      </c>
      <c r="Q57" s="11">
        <f>SUM(Q52:Q56)</f>
        <v/>
      </c>
      <c r="R57" s="11">
        <f>SUM(R52:R56)</f>
        <v/>
      </c>
      <c r="S57" s="11">
        <f>SUM(S52:S56)</f>
        <v/>
      </c>
      <c r="T57" s="11">
        <f>SUM(T52:T56)</f>
        <v/>
      </c>
      <c r="U57" s="10" t="n"/>
    </row>
    <row r="58">
      <c r="A58" s="5" t="n">
        <v>10</v>
      </c>
      <c r="B58" s="5" t="n">
        <v>1</v>
      </c>
      <c r="C58" s="6" t="n"/>
      <c r="D58" s="6" t="n"/>
      <c r="E58" s="7" t="n"/>
      <c r="F58" s="7" t="n"/>
      <c r="G58" s="8">
        <f>IF(E58="","",E58+F58)</f>
        <v/>
      </c>
      <c r="H58" s="8">
        <f>IF(E58="","",E58*0.15)</f>
        <v/>
      </c>
      <c r="I58" s="8">
        <f>IF(E58="","",IF(F58="",0,F58*0.13))</f>
        <v/>
      </c>
      <c r="J58" s="8">
        <f>IF(E58="","",H58+I58)</f>
        <v/>
      </c>
      <c r="K58" s="8">
        <f>IF(E58="","",J58*0.1)</f>
        <v/>
      </c>
      <c r="L58" s="8">
        <f>IF(E58="","",3000000/COUNTA(E58:E62))</f>
        <v/>
      </c>
      <c r="M58" s="8">
        <f>IF(E58="","",L58*0.1)</f>
        <v/>
      </c>
      <c r="N58" s="8">
        <f>IF(E58="","",70900/COUNTA(E58:E62))</f>
        <v/>
      </c>
      <c r="O58" s="7" t="n"/>
      <c r="P58" s="8">
        <f>IF(E58="","",IF(B58=1,50000,0))</f>
        <v/>
      </c>
      <c r="Q58" s="7" t="n"/>
      <c r="R58" s="8">
        <f>IF(E58="","",H58+I58+K58+L58+M58+N58+IF(O58="",0,O58)+P58+IF(Q58="",0,Q58))</f>
        <v/>
      </c>
      <c r="S58" s="8">
        <f>IF(E58="","",E58-(R58-I58*1.1))</f>
        <v/>
      </c>
      <c r="T58" s="8">
        <f>IF(E58="","",I58*1.1)</f>
        <v/>
      </c>
      <c r="U58" s="6" t="n"/>
    </row>
    <row r="59">
      <c r="A59" s="5" t="n">
        <v>10</v>
      </c>
      <c r="B59" s="5" t="n">
        <v>2</v>
      </c>
      <c r="C59" s="6" t="n"/>
      <c r="D59" s="6" t="n"/>
      <c r="E59" s="7" t="n"/>
      <c r="F59" s="7" t="n"/>
      <c r="G59" s="8">
        <f>IF(E59="","",E59+F59)</f>
        <v/>
      </c>
      <c r="H59" s="8">
        <f>IF(E59="","",E59*0.15)</f>
        <v/>
      </c>
      <c r="I59" s="8">
        <f>IF(E59="","",IF(F59="",0,F59*0.13))</f>
        <v/>
      </c>
      <c r="J59" s="8">
        <f>IF(E59="","",H59+I59)</f>
        <v/>
      </c>
      <c r="K59" s="8">
        <f>IF(E59="","",J59*0.1)</f>
        <v/>
      </c>
      <c r="L59" s="8">
        <f>IF(E59="","",3000000/COUNTA(E58:E62))</f>
        <v/>
      </c>
      <c r="M59" s="8">
        <f>IF(E59="","",L59*0.1)</f>
        <v/>
      </c>
      <c r="N59" s="8">
        <f>IF(E59="","",70900/COUNTA(E58:E62))</f>
        <v/>
      </c>
      <c r="O59" s="7" t="n"/>
      <c r="P59" s="8">
        <f>IF(E59="","",IF(B59=1,50000,0))</f>
        <v/>
      </c>
      <c r="Q59" s="7" t="n"/>
      <c r="R59" s="8">
        <f>IF(E59="","",H59+I59+K59+L59+M59+N59+IF(O59="",0,O59)+P59+IF(Q59="",0,Q59))</f>
        <v/>
      </c>
      <c r="S59" s="8">
        <f>IF(E59="","",E59-(R59-I59*1.1))</f>
        <v/>
      </c>
      <c r="T59" s="8">
        <f>IF(E59="","",I59*1.1)</f>
        <v/>
      </c>
      <c r="U59" s="6" t="n"/>
    </row>
    <row r="60">
      <c r="A60" s="5" t="n">
        <v>10</v>
      </c>
      <c r="B60" s="5" t="n">
        <v>3</v>
      </c>
      <c r="C60" s="6" t="n"/>
      <c r="D60" s="6" t="n"/>
      <c r="E60" s="7" t="n"/>
      <c r="F60" s="7" t="n"/>
      <c r="G60" s="8">
        <f>IF(E60="","",E60+F60)</f>
        <v/>
      </c>
      <c r="H60" s="8">
        <f>IF(E60="","",E60*0.15)</f>
        <v/>
      </c>
      <c r="I60" s="8">
        <f>IF(E60="","",IF(F60="",0,F60*0.13))</f>
        <v/>
      </c>
      <c r="J60" s="8">
        <f>IF(E60="","",H60+I60)</f>
        <v/>
      </c>
      <c r="K60" s="8">
        <f>IF(E60="","",J60*0.1)</f>
        <v/>
      </c>
      <c r="L60" s="8">
        <f>IF(E60="","",3000000/COUNTA(E58:E62))</f>
        <v/>
      </c>
      <c r="M60" s="8">
        <f>IF(E60="","",L60*0.1)</f>
        <v/>
      </c>
      <c r="N60" s="8">
        <f>IF(E60="","",70900/COUNTA(E58:E62))</f>
        <v/>
      </c>
      <c r="O60" s="7" t="n"/>
      <c r="P60" s="8">
        <f>IF(E60="","",IF(B60=1,50000,0))</f>
        <v/>
      </c>
      <c r="Q60" s="7" t="n"/>
      <c r="R60" s="8">
        <f>IF(E60="","",H60+I60+K60+L60+M60+N60+IF(O60="",0,O60)+P60+IF(Q60="",0,Q60))</f>
        <v/>
      </c>
      <c r="S60" s="8">
        <f>IF(E60="","",E60-(R60-I60*1.1))</f>
        <v/>
      </c>
      <c r="T60" s="8">
        <f>IF(E60="","",I60*1.1)</f>
        <v/>
      </c>
      <c r="U60" s="6" t="n"/>
    </row>
    <row r="61">
      <c r="A61" s="5" t="n">
        <v>10</v>
      </c>
      <c r="B61" s="5" t="n">
        <v>4</v>
      </c>
      <c r="C61" s="6" t="n"/>
      <c r="D61" s="6" t="n"/>
      <c r="E61" s="7" t="n"/>
      <c r="F61" s="7" t="n"/>
      <c r="G61" s="8">
        <f>IF(E61="","",E61+F61)</f>
        <v/>
      </c>
      <c r="H61" s="8">
        <f>IF(E61="","",E61*0.15)</f>
        <v/>
      </c>
      <c r="I61" s="8">
        <f>IF(E61="","",IF(F61="",0,F61*0.13))</f>
        <v/>
      </c>
      <c r="J61" s="8">
        <f>IF(E61="","",H61+I61)</f>
        <v/>
      </c>
      <c r="K61" s="8">
        <f>IF(E61="","",J61*0.1)</f>
        <v/>
      </c>
      <c r="L61" s="8">
        <f>IF(E61="","",3000000/COUNTA(E58:E62))</f>
        <v/>
      </c>
      <c r="M61" s="8">
        <f>IF(E61="","",L61*0.1)</f>
        <v/>
      </c>
      <c r="N61" s="8">
        <f>IF(E61="","",70900/COUNTA(E58:E62))</f>
        <v/>
      </c>
      <c r="O61" s="7" t="n"/>
      <c r="P61" s="8">
        <f>IF(E61="","",IF(B61=1,50000,0))</f>
        <v/>
      </c>
      <c r="Q61" s="7" t="n"/>
      <c r="R61" s="8">
        <f>IF(E61="","",H61+I61+K61+L61+M61+N61+IF(O61="",0,O61)+P61+IF(Q61="",0,Q61))</f>
        <v/>
      </c>
      <c r="S61" s="8">
        <f>IF(E61="","",E61-(R61-I61*1.1))</f>
        <v/>
      </c>
      <c r="T61" s="8">
        <f>IF(E61="","",I61*1.1)</f>
        <v/>
      </c>
      <c r="U61" s="6" t="n"/>
    </row>
    <row r="62">
      <c r="A62" s="5" t="n">
        <v>10</v>
      </c>
      <c r="B62" s="5" t="n">
        <v>5</v>
      </c>
      <c r="C62" s="6" t="n"/>
      <c r="D62" s="6" t="n"/>
      <c r="E62" s="7" t="n"/>
      <c r="F62" s="7" t="n"/>
      <c r="G62" s="8">
        <f>IF(E62="","",E62+F62)</f>
        <v/>
      </c>
      <c r="H62" s="8">
        <f>IF(E62="","",E62*0.15)</f>
        <v/>
      </c>
      <c r="I62" s="8">
        <f>IF(E62="","",IF(F62="",0,F62*0.13))</f>
        <v/>
      </c>
      <c r="J62" s="8">
        <f>IF(E62="","",H62+I62)</f>
        <v/>
      </c>
      <c r="K62" s="8">
        <f>IF(E62="","",J62*0.1)</f>
        <v/>
      </c>
      <c r="L62" s="8">
        <f>IF(E62="","",3000000/COUNTA(E58:E62))</f>
        <v/>
      </c>
      <c r="M62" s="8">
        <f>IF(E62="","",L62*0.1)</f>
        <v/>
      </c>
      <c r="N62" s="8">
        <f>IF(E62="","",70900/COUNTA(E58:E62))</f>
        <v/>
      </c>
      <c r="O62" s="7" t="n"/>
      <c r="P62" s="8">
        <f>IF(E62="","",IF(B62=1,50000,0))</f>
        <v/>
      </c>
      <c r="Q62" s="7" t="n"/>
      <c r="R62" s="8">
        <f>IF(E62="","",H62+I62+K62+L62+M62+N62+IF(O62="",0,O62)+P62+IF(Q62="",0,Q62))</f>
        <v/>
      </c>
      <c r="S62" s="8">
        <f>IF(E62="","",E62-(R62-I62*1.1))</f>
        <v/>
      </c>
      <c r="T62" s="8">
        <f>IF(E62="","",I62*1.1)</f>
        <v/>
      </c>
      <c r="U62" s="6" t="n"/>
    </row>
    <row r="63">
      <c r="A63" s="9" t="inlineStr">
        <is>
          <t>10월</t>
        </is>
      </c>
      <c r="B63" s="9" t="inlineStr">
        <is>
          <t>소계</t>
        </is>
      </c>
      <c r="C63" s="10" t="n"/>
      <c r="D63" s="10" t="n"/>
      <c r="E63" s="11">
        <f>SUM(E58:E62)</f>
        <v/>
      </c>
      <c r="F63" s="11">
        <f>SUM(F58:F62)</f>
        <v/>
      </c>
      <c r="G63" s="11">
        <f>SUM(G58:G62)</f>
        <v/>
      </c>
      <c r="H63" s="11">
        <f>SUM(H58:H62)</f>
        <v/>
      </c>
      <c r="I63" s="11">
        <f>SUM(I58:I62)</f>
        <v/>
      </c>
      <c r="J63" s="11">
        <f>SUM(J58:J62)</f>
        <v/>
      </c>
      <c r="K63" s="11">
        <f>SUM(K58:K62)</f>
        <v/>
      </c>
      <c r="L63" s="11">
        <f>SUM(L58:L62)</f>
        <v/>
      </c>
      <c r="M63" s="11">
        <f>SUM(M58:M62)</f>
        <v/>
      </c>
      <c r="N63" s="11">
        <f>SUM(N58:N62)</f>
        <v/>
      </c>
      <c r="O63" s="11">
        <f>SUM(O58:O62)</f>
        <v/>
      </c>
      <c r="P63" s="11">
        <f>SUM(P58:P62)</f>
        <v/>
      </c>
      <c r="Q63" s="11">
        <f>SUM(Q58:Q62)</f>
        <v/>
      </c>
      <c r="R63" s="11">
        <f>SUM(R58:R62)</f>
        <v/>
      </c>
      <c r="S63" s="11">
        <f>SUM(S58:S62)</f>
        <v/>
      </c>
      <c r="T63" s="11">
        <f>SUM(T58:T62)</f>
        <v/>
      </c>
      <c r="U63" s="10" t="n"/>
    </row>
    <row r="64">
      <c r="A64" s="5" t="n">
        <v>11</v>
      </c>
      <c r="B64" s="5" t="n">
        <v>1</v>
      </c>
      <c r="C64" s="6" t="n"/>
      <c r="D64" s="6" t="n"/>
      <c r="E64" s="7" t="n"/>
      <c r="F64" s="7" t="n"/>
      <c r="G64" s="8">
        <f>IF(E64="","",E64+F64)</f>
        <v/>
      </c>
      <c r="H64" s="8">
        <f>IF(E64="","",E64*0.15)</f>
        <v/>
      </c>
      <c r="I64" s="8">
        <f>IF(E64="","",IF(F64="",0,F64*0.13))</f>
        <v/>
      </c>
      <c r="J64" s="8">
        <f>IF(E64="","",H64+I64)</f>
        <v/>
      </c>
      <c r="K64" s="8">
        <f>IF(E64="","",J64*0.1)</f>
        <v/>
      </c>
      <c r="L64" s="8">
        <f>IF(E64="","",3000000/COUNTA(E64:E68))</f>
        <v/>
      </c>
      <c r="M64" s="8">
        <f>IF(E64="","",L64*0.1)</f>
        <v/>
      </c>
      <c r="N64" s="8">
        <f>IF(E64="","",70900/COUNTA(E64:E68))</f>
        <v/>
      </c>
      <c r="O64" s="7" t="n"/>
      <c r="P64" s="8">
        <f>IF(E64="","",IF(B64=1,50000,0))</f>
        <v/>
      </c>
      <c r="Q64" s="7" t="n"/>
      <c r="R64" s="8">
        <f>IF(E64="","",H64+I64+K64+L64+M64+N64+IF(O64="",0,O64)+P64+IF(Q64="",0,Q64))</f>
        <v/>
      </c>
      <c r="S64" s="8">
        <f>IF(E64="","",E64-(R64-I64*1.1))</f>
        <v/>
      </c>
      <c r="T64" s="8">
        <f>IF(E64="","",I64*1.1)</f>
        <v/>
      </c>
      <c r="U64" s="6" t="n"/>
    </row>
    <row r="65">
      <c r="A65" s="5" t="n">
        <v>11</v>
      </c>
      <c r="B65" s="5" t="n">
        <v>2</v>
      </c>
      <c r="C65" s="6" t="n"/>
      <c r="D65" s="6" t="n"/>
      <c r="E65" s="7" t="n"/>
      <c r="F65" s="7" t="n"/>
      <c r="G65" s="8">
        <f>IF(E65="","",E65+F65)</f>
        <v/>
      </c>
      <c r="H65" s="8">
        <f>IF(E65="","",E65*0.15)</f>
        <v/>
      </c>
      <c r="I65" s="8">
        <f>IF(E65="","",IF(F65="",0,F65*0.13))</f>
        <v/>
      </c>
      <c r="J65" s="8">
        <f>IF(E65="","",H65+I65)</f>
        <v/>
      </c>
      <c r="K65" s="8">
        <f>IF(E65="","",J65*0.1)</f>
        <v/>
      </c>
      <c r="L65" s="8">
        <f>IF(E65="","",3000000/COUNTA(E64:E68))</f>
        <v/>
      </c>
      <c r="M65" s="8">
        <f>IF(E65="","",L65*0.1)</f>
        <v/>
      </c>
      <c r="N65" s="8">
        <f>IF(E65="","",70900/COUNTA(E64:E68))</f>
        <v/>
      </c>
      <c r="O65" s="7" t="n"/>
      <c r="P65" s="8">
        <f>IF(E65="","",IF(B65=1,50000,0))</f>
        <v/>
      </c>
      <c r="Q65" s="7" t="n"/>
      <c r="R65" s="8">
        <f>IF(E65="","",H65+I65+K65+L65+M65+N65+IF(O65="",0,O65)+P65+IF(Q65="",0,Q65))</f>
        <v/>
      </c>
      <c r="S65" s="8">
        <f>IF(E65="","",E65-(R65-I65*1.1))</f>
        <v/>
      </c>
      <c r="T65" s="8">
        <f>IF(E65="","",I65*1.1)</f>
        <v/>
      </c>
      <c r="U65" s="6" t="n"/>
    </row>
    <row r="66">
      <c r="A66" s="5" t="n">
        <v>11</v>
      </c>
      <c r="B66" s="5" t="n">
        <v>3</v>
      </c>
      <c r="C66" s="6" t="n"/>
      <c r="D66" s="6" t="n"/>
      <c r="E66" s="7" t="n"/>
      <c r="F66" s="7" t="n"/>
      <c r="G66" s="8">
        <f>IF(E66="","",E66+F66)</f>
        <v/>
      </c>
      <c r="H66" s="8">
        <f>IF(E66="","",E66*0.15)</f>
        <v/>
      </c>
      <c r="I66" s="8">
        <f>IF(E66="","",IF(F66="",0,F66*0.13))</f>
        <v/>
      </c>
      <c r="J66" s="8">
        <f>IF(E66="","",H66+I66)</f>
        <v/>
      </c>
      <c r="K66" s="8">
        <f>IF(E66="","",J66*0.1)</f>
        <v/>
      </c>
      <c r="L66" s="8">
        <f>IF(E66="","",3000000/COUNTA(E64:E68))</f>
        <v/>
      </c>
      <c r="M66" s="8">
        <f>IF(E66="","",L66*0.1)</f>
        <v/>
      </c>
      <c r="N66" s="8">
        <f>IF(E66="","",70900/COUNTA(E64:E68))</f>
        <v/>
      </c>
      <c r="O66" s="7" t="n"/>
      <c r="P66" s="8">
        <f>IF(E66="","",IF(B66=1,50000,0))</f>
        <v/>
      </c>
      <c r="Q66" s="7" t="n"/>
      <c r="R66" s="8">
        <f>IF(E66="","",H66+I66+K66+L66+M66+N66+IF(O66="",0,O66)+P66+IF(Q66="",0,Q66))</f>
        <v/>
      </c>
      <c r="S66" s="8">
        <f>IF(E66="","",E66-(R66-I66*1.1))</f>
        <v/>
      </c>
      <c r="T66" s="8">
        <f>IF(E66="","",I66*1.1)</f>
        <v/>
      </c>
      <c r="U66" s="6" t="n"/>
    </row>
    <row r="67">
      <c r="A67" s="5" t="n">
        <v>11</v>
      </c>
      <c r="B67" s="5" t="n">
        <v>4</v>
      </c>
      <c r="C67" s="6" t="n"/>
      <c r="D67" s="6" t="n"/>
      <c r="E67" s="7" t="n"/>
      <c r="F67" s="7" t="n"/>
      <c r="G67" s="8">
        <f>IF(E67="","",E67+F67)</f>
        <v/>
      </c>
      <c r="H67" s="8">
        <f>IF(E67="","",E67*0.15)</f>
        <v/>
      </c>
      <c r="I67" s="8">
        <f>IF(E67="","",IF(F67="",0,F67*0.13))</f>
        <v/>
      </c>
      <c r="J67" s="8">
        <f>IF(E67="","",H67+I67)</f>
        <v/>
      </c>
      <c r="K67" s="8">
        <f>IF(E67="","",J67*0.1)</f>
        <v/>
      </c>
      <c r="L67" s="8">
        <f>IF(E67="","",3000000/COUNTA(E64:E68))</f>
        <v/>
      </c>
      <c r="M67" s="8">
        <f>IF(E67="","",L67*0.1)</f>
        <v/>
      </c>
      <c r="N67" s="8">
        <f>IF(E67="","",70900/COUNTA(E64:E68))</f>
        <v/>
      </c>
      <c r="O67" s="7" t="n"/>
      <c r="P67" s="8">
        <f>IF(E67="","",IF(B67=1,50000,0))</f>
        <v/>
      </c>
      <c r="Q67" s="7" t="n"/>
      <c r="R67" s="8">
        <f>IF(E67="","",H67+I67+K67+L67+M67+N67+IF(O67="",0,O67)+P67+IF(Q67="",0,Q67))</f>
        <v/>
      </c>
      <c r="S67" s="8">
        <f>IF(E67="","",E67-(R67-I67*1.1))</f>
        <v/>
      </c>
      <c r="T67" s="8">
        <f>IF(E67="","",I67*1.1)</f>
        <v/>
      </c>
      <c r="U67" s="6" t="n"/>
    </row>
    <row r="68">
      <c r="A68" s="5" t="n">
        <v>11</v>
      </c>
      <c r="B68" s="5" t="n">
        <v>5</v>
      </c>
      <c r="C68" s="6" t="n"/>
      <c r="D68" s="6" t="n"/>
      <c r="E68" s="7" t="n"/>
      <c r="F68" s="7" t="n"/>
      <c r="G68" s="8">
        <f>IF(E68="","",E68+F68)</f>
        <v/>
      </c>
      <c r="H68" s="8">
        <f>IF(E68="","",E68*0.15)</f>
        <v/>
      </c>
      <c r="I68" s="8">
        <f>IF(E68="","",IF(F68="",0,F68*0.13))</f>
        <v/>
      </c>
      <c r="J68" s="8">
        <f>IF(E68="","",H68+I68)</f>
        <v/>
      </c>
      <c r="K68" s="8">
        <f>IF(E68="","",J68*0.1)</f>
        <v/>
      </c>
      <c r="L68" s="8">
        <f>IF(E68="","",3000000/COUNTA(E64:E68))</f>
        <v/>
      </c>
      <c r="M68" s="8">
        <f>IF(E68="","",L68*0.1)</f>
        <v/>
      </c>
      <c r="N68" s="8">
        <f>IF(E68="","",70900/COUNTA(E64:E68))</f>
        <v/>
      </c>
      <c r="O68" s="7" t="n"/>
      <c r="P68" s="8">
        <f>IF(E68="","",IF(B68=1,50000,0))</f>
        <v/>
      </c>
      <c r="Q68" s="7" t="n"/>
      <c r="R68" s="8">
        <f>IF(E68="","",H68+I68+K68+L68+M68+N68+IF(O68="",0,O68)+P68+IF(Q68="",0,Q68))</f>
        <v/>
      </c>
      <c r="S68" s="8">
        <f>IF(E68="","",E68-(R68-I68*1.1))</f>
        <v/>
      </c>
      <c r="T68" s="8">
        <f>IF(E68="","",I68*1.1)</f>
        <v/>
      </c>
      <c r="U68" s="6" t="n"/>
    </row>
    <row r="69">
      <c r="A69" s="9" t="inlineStr">
        <is>
          <t>11월</t>
        </is>
      </c>
      <c r="B69" s="9" t="inlineStr">
        <is>
          <t>소계</t>
        </is>
      </c>
      <c r="C69" s="10" t="n"/>
      <c r="D69" s="10" t="n"/>
      <c r="E69" s="11">
        <f>SUM(E64:E68)</f>
        <v/>
      </c>
      <c r="F69" s="11">
        <f>SUM(F64:F68)</f>
        <v/>
      </c>
      <c r="G69" s="11">
        <f>SUM(G64:G68)</f>
        <v/>
      </c>
      <c r="H69" s="11">
        <f>SUM(H64:H68)</f>
        <v/>
      </c>
      <c r="I69" s="11">
        <f>SUM(I64:I68)</f>
        <v/>
      </c>
      <c r="J69" s="11">
        <f>SUM(J64:J68)</f>
        <v/>
      </c>
      <c r="K69" s="11">
        <f>SUM(K64:K68)</f>
        <v/>
      </c>
      <c r="L69" s="11">
        <f>SUM(L64:L68)</f>
        <v/>
      </c>
      <c r="M69" s="11">
        <f>SUM(M64:M68)</f>
        <v/>
      </c>
      <c r="N69" s="11">
        <f>SUM(N64:N68)</f>
        <v/>
      </c>
      <c r="O69" s="11">
        <f>SUM(O64:O68)</f>
        <v/>
      </c>
      <c r="P69" s="11">
        <f>SUM(P64:P68)</f>
        <v/>
      </c>
      <c r="Q69" s="11">
        <f>SUM(Q64:Q68)</f>
        <v/>
      </c>
      <c r="R69" s="11">
        <f>SUM(R64:R68)</f>
        <v/>
      </c>
      <c r="S69" s="11">
        <f>SUM(S64:S68)</f>
        <v/>
      </c>
      <c r="T69" s="11">
        <f>SUM(T64:T68)</f>
        <v/>
      </c>
      <c r="U69" s="10" t="n"/>
    </row>
    <row r="70">
      <c r="A70" s="5" t="n">
        <v>12</v>
      </c>
      <c r="B70" s="5" t="n">
        <v>1</v>
      </c>
      <c r="C70" s="6" t="n"/>
      <c r="D70" s="6" t="n"/>
      <c r="E70" s="7" t="n"/>
      <c r="F70" s="7" t="n"/>
      <c r="G70" s="8">
        <f>IF(E70="","",E70+F70)</f>
        <v/>
      </c>
      <c r="H70" s="8">
        <f>IF(E70="","",E70*0.15)</f>
        <v/>
      </c>
      <c r="I70" s="8">
        <f>IF(E70="","",IF(F70="",0,F70*0.13))</f>
        <v/>
      </c>
      <c r="J70" s="8">
        <f>IF(E70="","",H70+I70)</f>
        <v/>
      </c>
      <c r="K70" s="8">
        <f>IF(E70="","",J70*0.1)</f>
        <v/>
      </c>
      <c r="L70" s="8">
        <f>IF(E70="","",3000000/COUNTA(E70:E74))</f>
        <v/>
      </c>
      <c r="M70" s="8">
        <f>IF(E70="","",L70*0.1)</f>
        <v/>
      </c>
      <c r="N70" s="8">
        <f>IF(E70="","",70900/COUNTA(E70:E74))</f>
        <v/>
      </c>
      <c r="O70" s="7" t="n"/>
      <c r="P70" s="8">
        <f>IF(E70="","",IF(B70=1,50000,0))</f>
        <v/>
      </c>
      <c r="Q70" s="7" t="n"/>
      <c r="R70" s="8">
        <f>IF(E70="","",H70+I70+K70+L70+M70+N70+IF(O70="",0,O70)+P70+IF(Q70="",0,Q70))</f>
        <v/>
      </c>
      <c r="S70" s="8">
        <f>IF(E70="","",E70-(R70-I70*1.1))</f>
        <v/>
      </c>
      <c r="T70" s="8">
        <f>IF(E70="","",I70*1.1)</f>
        <v/>
      </c>
      <c r="U70" s="6" t="n"/>
    </row>
    <row r="71">
      <c r="A71" s="5" t="n">
        <v>12</v>
      </c>
      <c r="B71" s="5" t="n">
        <v>2</v>
      </c>
      <c r="C71" s="6" t="n"/>
      <c r="D71" s="6" t="n"/>
      <c r="E71" s="7" t="n"/>
      <c r="F71" s="7" t="n"/>
      <c r="G71" s="8">
        <f>IF(E71="","",E71+F71)</f>
        <v/>
      </c>
      <c r="H71" s="8">
        <f>IF(E71="","",E71*0.15)</f>
        <v/>
      </c>
      <c r="I71" s="8">
        <f>IF(E71="","",IF(F71="",0,F71*0.13))</f>
        <v/>
      </c>
      <c r="J71" s="8">
        <f>IF(E71="","",H71+I71)</f>
        <v/>
      </c>
      <c r="K71" s="8">
        <f>IF(E71="","",J71*0.1)</f>
        <v/>
      </c>
      <c r="L71" s="8">
        <f>IF(E71="","",3000000/COUNTA(E70:E74))</f>
        <v/>
      </c>
      <c r="M71" s="8">
        <f>IF(E71="","",L71*0.1)</f>
        <v/>
      </c>
      <c r="N71" s="8">
        <f>IF(E71="","",70900/COUNTA(E70:E74))</f>
        <v/>
      </c>
      <c r="O71" s="7" t="n"/>
      <c r="P71" s="8">
        <f>IF(E71="","",IF(B71=1,50000,0))</f>
        <v/>
      </c>
      <c r="Q71" s="7" t="n"/>
      <c r="R71" s="8">
        <f>IF(E71="","",H71+I71+K71+L71+M71+N71+IF(O71="",0,O71)+P71+IF(Q71="",0,Q71))</f>
        <v/>
      </c>
      <c r="S71" s="8">
        <f>IF(E71="","",E71-(R71-I71*1.1))</f>
        <v/>
      </c>
      <c r="T71" s="8">
        <f>IF(E71="","",I71*1.1)</f>
        <v/>
      </c>
      <c r="U71" s="6" t="n"/>
    </row>
    <row r="72">
      <c r="A72" s="5" t="n">
        <v>12</v>
      </c>
      <c r="B72" s="5" t="n">
        <v>3</v>
      </c>
      <c r="C72" s="6" t="n"/>
      <c r="D72" s="6" t="n"/>
      <c r="E72" s="7" t="n"/>
      <c r="F72" s="7" t="n"/>
      <c r="G72" s="8">
        <f>IF(E72="","",E72+F72)</f>
        <v/>
      </c>
      <c r="H72" s="8">
        <f>IF(E72="","",E72*0.15)</f>
        <v/>
      </c>
      <c r="I72" s="8">
        <f>IF(E72="","",IF(F72="",0,F72*0.13))</f>
        <v/>
      </c>
      <c r="J72" s="8">
        <f>IF(E72="","",H72+I72)</f>
        <v/>
      </c>
      <c r="K72" s="8">
        <f>IF(E72="","",J72*0.1)</f>
        <v/>
      </c>
      <c r="L72" s="8">
        <f>IF(E72="","",3000000/COUNTA(E70:E74))</f>
        <v/>
      </c>
      <c r="M72" s="8">
        <f>IF(E72="","",L72*0.1)</f>
        <v/>
      </c>
      <c r="N72" s="8">
        <f>IF(E72="","",70900/COUNTA(E70:E74))</f>
        <v/>
      </c>
      <c r="O72" s="7" t="n"/>
      <c r="P72" s="8">
        <f>IF(E72="","",IF(B72=1,50000,0))</f>
        <v/>
      </c>
      <c r="Q72" s="7" t="n"/>
      <c r="R72" s="8">
        <f>IF(E72="","",H72+I72+K72+L72+M72+N72+IF(O72="",0,O72)+P72+IF(Q72="",0,Q72))</f>
        <v/>
      </c>
      <c r="S72" s="8">
        <f>IF(E72="","",E72-(R72-I72*1.1))</f>
        <v/>
      </c>
      <c r="T72" s="8">
        <f>IF(E72="","",I72*1.1)</f>
        <v/>
      </c>
      <c r="U72" s="6" t="n"/>
    </row>
    <row r="73">
      <c r="A73" s="5" t="n">
        <v>12</v>
      </c>
      <c r="B73" s="5" t="n">
        <v>4</v>
      </c>
      <c r="C73" s="6" t="n"/>
      <c r="D73" s="6" t="n"/>
      <c r="E73" s="7" t="n"/>
      <c r="F73" s="7" t="n"/>
      <c r="G73" s="8">
        <f>IF(E73="","",E73+F73)</f>
        <v/>
      </c>
      <c r="H73" s="8">
        <f>IF(E73="","",E73*0.15)</f>
        <v/>
      </c>
      <c r="I73" s="8">
        <f>IF(E73="","",IF(F73="",0,F73*0.13))</f>
        <v/>
      </c>
      <c r="J73" s="8">
        <f>IF(E73="","",H73+I73)</f>
        <v/>
      </c>
      <c r="K73" s="8">
        <f>IF(E73="","",J73*0.1)</f>
        <v/>
      </c>
      <c r="L73" s="8">
        <f>IF(E73="","",3000000/COUNTA(E70:E74))</f>
        <v/>
      </c>
      <c r="M73" s="8">
        <f>IF(E73="","",L73*0.1)</f>
        <v/>
      </c>
      <c r="N73" s="8">
        <f>IF(E73="","",70900/COUNTA(E70:E74))</f>
        <v/>
      </c>
      <c r="O73" s="7" t="n"/>
      <c r="P73" s="8">
        <f>IF(E73="","",IF(B73=1,50000,0))</f>
        <v/>
      </c>
      <c r="Q73" s="7" t="n"/>
      <c r="R73" s="8">
        <f>IF(E73="","",H73+I73+K73+L73+M73+N73+IF(O73="",0,O73)+P73+IF(Q73="",0,Q73))</f>
        <v/>
      </c>
      <c r="S73" s="8">
        <f>IF(E73="","",E73-(R73-I73*1.1))</f>
        <v/>
      </c>
      <c r="T73" s="8">
        <f>IF(E73="","",I73*1.1)</f>
        <v/>
      </c>
      <c r="U73" s="6" t="n"/>
    </row>
    <row r="74">
      <c r="A74" s="5" t="n">
        <v>12</v>
      </c>
      <c r="B74" s="5" t="n">
        <v>5</v>
      </c>
      <c r="C74" s="6" t="n"/>
      <c r="D74" s="6" t="n"/>
      <c r="E74" s="7" t="n"/>
      <c r="F74" s="7" t="n"/>
      <c r="G74" s="8">
        <f>IF(E74="","",E74+F74)</f>
        <v/>
      </c>
      <c r="H74" s="8">
        <f>IF(E74="","",E74*0.15)</f>
        <v/>
      </c>
      <c r="I74" s="8">
        <f>IF(E74="","",IF(F74="",0,F74*0.13))</f>
        <v/>
      </c>
      <c r="J74" s="8">
        <f>IF(E74="","",H74+I74)</f>
        <v/>
      </c>
      <c r="K74" s="8">
        <f>IF(E74="","",J74*0.1)</f>
        <v/>
      </c>
      <c r="L74" s="8">
        <f>IF(E74="","",3000000/COUNTA(E70:E74))</f>
        <v/>
      </c>
      <c r="M74" s="8">
        <f>IF(E74="","",L74*0.1)</f>
        <v/>
      </c>
      <c r="N74" s="8">
        <f>IF(E74="","",70900/COUNTA(E70:E74))</f>
        <v/>
      </c>
      <c r="O74" s="7" t="n"/>
      <c r="P74" s="8">
        <f>IF(E74="","",IF(B74=1,50000,0))</f>
        <v/>
      </c>
      <c r="Q74" s="7" t="n"/>
      <c r="R74" s="8">
        <f>IF(E74="","",H74+I74+K74+L74+M74+N74+IF(O74="",0,O74)+P74+IF(Q74="",0,Q74))</f>
        <v/>
      </c>
      <c r="S74" s="8">
        <f>IF(E74="","",E74-(R74-I74*1.1))</f>
        <v/>
      </c>
      <c r="T74" s="8">
        <f>IF(E74="","",I74*1.1)</f>
        <v/>
      </c>
      <c r="U74" s="6" t="n"/>
    </row>
    <row r="75">
      <c r="A75" s="9" t="inlineStr">
        <is>
          <t>12월</t>
        </is>
      </c>
      <c r="B75" s="9" t="inlineStr">
        <is>
          <t>소계</t>
        </is>
      </c>
      <c r="C75" s="10" t="n"/>
      <c r="D75" s="10" t="n"/>
      <c r="E75" s="11">
        <f>SUM(E70:E74)</f>
        <v/>
      </c>
      <c r="F75" s="11">
        <f>SUM(F70:F74)</f>
        <v/>
      </c>
      <c r="G75" s="11">
        <f>SUM(G70:G74)</f>
        <v/>
      </c>
      <c r="H75" s="11">
        <f>SUM(H70:H74)</f>
        <v/>
      </c>
      <c r="I75" s="11">
        <f>SUM(I70:I74)</f>
        <v/>
      </c>
      <c r="J75" s="11">
        <f>SUM(J70:J74)</f>
        <v/>
      </c>
      <c r="K75" s="11">
        <f>SUM(K70:K74)</f>
        <v/>
      </c>
      <c r="L75" s="11">
        <f>SUM(L70:L74)</f>
        <v/>
      </c>
      <c r="M75" s="11">
        <f>SUM(M70:M74)</f>
        <v/>
      </c>
      <c r="N75" s="11">
        <f>SUM(N70:N74)</f>
        <v/>
      </c>
      <c r="O75" s="11">
        <f>SUM(O70:O74)</f>
        <v/>
      </c>
      <c r="P75" s="11">
        <f>SUM(P70:P74)</f>
        <v/>
      </c>
      <c r="Q75" s="11">
        <f>SUM(Q70:Q74)</f>
        <v/>
      </c>
      <c r="R75" s="11">
        <f>SUM(R70:R74)</f>
        <v/>
      </c>
      <c r="S75" s="11">
        <f>SUM(S70:S74)</f>
        <v/>
      </c>
      <c r="T75" s="11">
        <f>SUM(T70:T74)</f>
        <v/>
      </c>
      <c r="U75" s="10" t="n"/>
    </row>
    <row r="76">
      <c r="A76" s="12" t="inlineStr">
        <is>
          <t>연간</t>
        </is>
      </c>
      <c r="B76" s="12" t="inlineStr">
        <is>
          <t>합계</t>
        </is>
      </c>
      <c r="C76" s="13" t="n"/>
      <c r="D76" s="13" t="n"/>
      <c r="E76" s="14">
        <f>E9+E15+E21+E27+E33+E39+E45+E51+E57+E63+E69+E75</f>
        <v/>
      </c>
      <c r="F76" s="14">
        <f>F9+F15+F21+F27+F33+F39+F45+F51+F57+F63+F69+F75</f>
        <v/>
      </c>
      <c r="G76" s="14">
        <f>G9+G15+G21+G27+G33+G39+G45+G51+G57+G63+G69+G75</f>
        <v/>
      </c>
      <c r="H76" s="14">
        <f>H9+H15+H21+H27+H33+H39+H45+H51+H57+H63+H69+H75</f>
        <v/>
      </c>
      <c r="I76" s="14">
        <f>I9+I15+I21+I27+I33+I39+I45+I51+I57+I63+I69+I75</f>
        <v/>
      </c>
      <c r="J76" s="14">
        <f>J9+J15+J21+J27+J33+J39+J45+J51+J57+J63+J69+J75</f>
        <v/>
      </c>
      <c r="K76" s="14">
        <f>K9+K15+K21+K27+K33+K39+K45+K51+K57+K63+K69+K75</f>
        <v/>
      </c>
      <c r="L76" s="14">
        <f>L9+L15+L21+L27+L33+L39+L45+L51+L57+L63+L69+L75</f>
        <v/>
      </c>
      <c r="M76" s="14">
        <f>M9+M15+M21+M27+M33+M39+M45+M51+M57+M63+M69+M75</f>
        <v/>
      </c>
      <c r="N76" s="14">
        <f>N9+N15+N21+N27+N33+N39+N45+N51+N57+N63+N69+N75</f>
        <v/>
      </c>
      <c r="O76" s="14">
        <f>O9+O15+O21+O27+O33+O39+O45+O51+O57+O63+O69+O75</f>
        <v/>
      </c>
      <c r="P76" s="14">
        <f>P9+P15+P21+P27+P33+P39+P45+P51+P57+P63+P69+P75</f>
        <v/>
      </c>
      <c r="Q76" s="14">
        <f>Q9+Q15+Q21+Q27+Q33+Q39+Q45+Q51+Q57+Q63+Q69+Q75</f>
        <v/>
      </c>
      <c r="R76" s="14">
        <f>R9+R15+R21+R27+R33+R39+R45+R51+R57+R63+R69+R75</f>
        <v/>
      </c>
      <c r="S76" s="14">
        <f>S9+S15+S21+S27+S33+S39+S45+S51+S57+S63+S69+S75</f>
        <v/>
      </c>
      <c r="T76" s="14">
        <f>T9+T15+T21+T27+T33+T39+T45+T51+T57+T63+T69+T75</f>
        <v/>
      </c>
      <c r="U76" s="13" t="n"/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6" customWidth="1" min="14" max="14"/>
    <col width="13" customWidth="1" min="15" max="15"/>
  </cols>
  <sheetData>
    <row r="1">
      <c r="A1" s="1" t="inlineStr">
        <is>
          <t>미식가의 주방 — 경영 대시보드 (2026년)</t>
        </is>
      </c>
    </row>
    <row r="2">
      <c r="M2" s="15" t="inlineStr">
        <is>
          <t>현재월 →</t>
        </is>
      </c>
      <c r="N2" s="16" t="n">
        <v>3</v>
      </c>
    </row>
    <row r="3">
      <c r="B3" s="17" t="inlineStr">
        <is>
          <t>이번달 총매출</t>
        </is>
      </c>
      <c r="C3" s="18" t="n"/>
      <c r="E3" s="17" t="inlineStr">
        <is>
          <t>이번달 수수료수익</t>
        </is>
      </c>
      <c r="F3" s="18" t="n"/>
      <c r="H3" s="17" t="inlineStr">
        <is>
          <t>이번달 임대수익</t>
        </is>
      </c>
      <c r="I3" s="18" t="n"/>
      <c r="K3" s="17" t="inlineStr">
        <is>
          <t>연간 누적매출</t>
        </is>
      </c>
      <c r="L3" s="18" t="n"/>
    </row>
    <row r="4">
      <c r="B4" s="19">
        <f>INDEX(D9:D20,N2)</f>
        <v/>
      </c>
      <c r="C4" s="18" t="n"/>
      <c r="E4" s="19">
        <f>INDEX(G9:G20,N2)</f>
        <v/>
      </c>
      <c r="F4" s="18" t="n"/>
      <c r="H4" s="19">
        <f>INDEX(H9:H20,N2)+INDEX(I9:I20,N2)</f>
        <v/>
      </c>
      <c r="I4" s="18" t="n"/>
      <c r="K4" s="19">
        <f>D21</f>
        <v/>
      </c>
      <c r="L4" s="18" t="n"/>
    </row>
    <row r="6"/>
    <row r="7">
      <c r="A7" s="20" t="inlineStr">
        <is>
          <t>📊 월별 정산 요약</t>
        </is>
      </c>
    </row>
    <row r="8">
      <c r="A8" s="4" t="inlineStr">
        <is>
          <t>월</t>
        </is>
      </c>
      <c r="B8" s="4" t="inlineStr">
        <is>
          <t>카드매출</t>
        </is>
      </c>
      <c r="C8" s="4" t="inlineStr">
        <is>
          <t>현금매출</t>
        </is>
      </c>
      <c r="D8" s="4" t="inlineStr">
        <is>
          <t>총매출</t>
        </is>
      </c>
      <c r="E8" s="4" t="inlineStr">
        <is>
          <t>카드수수료</t>
        </is>
      </c>
      <c r="F8" s="4" t="inlineStr">
        <is>
          <t>현금수수료</t>
        </is>
      </c>
      <c r="G8" s="4" t="inlineStr">
        <is>
          <t>수수료합계</t>
        </is>
      </c>
      <c r="H8" s="4" t="inlineStr">
        <is>
          <t>임대료</t>
        </is>
      </c>
      <c r="I8" s="4" t="inlineStr">
        <is>
          <t>관리비</t>
        </is>
      </c>
      <c r="J8" s="4" t="inlineStr">
        <is>
          <t>공과금</t>
        </is>
      </c>
      <c r="K8" s="4" t="inlineStr">
        <is>
          <t>총차감</t>
        </is>
      </c>
      <c r="L8" s="4" t="inlineStr">
        <is>
          <t>미식가지급</t>
        </is>
      </c>
      <c r="M8" s="4" t="inlineStr">
        <is>
          <t>현금수령</t>
        </is>
      </c>
    </row>
    <row r="9">
      <c r="A9" s="21" t="inlineStr">
        <is>
          <t>1월</t>
        </is>
      </c>
      <c r="B9" s="22">
        <f>'정산 입력'!E9</f>
        <v/>
      </c>
      <c r="C9" s="22">
        <f>'정산 입력'!F9</f>
        <v/>
      </c>
      <c r="D9" s="22">
        <f>'정산 입력'!G9</f>
        <v/>
      </c>
      <c r="E9" s="22">
        <f>'정산 입력'!H9</f>
        <v/>
      </c>
      <c r="F9" s="22">
        <f>'정산 입력'!I9</f>
        <v/>
      </c>
      <c r="G9" s="22">
        <f>'정산 입력'!J9</f>
        <v/>
      </c>
      <c r="H9" s="22">
        <f>'정산 입력'!L9</f>
        <v/>
      </c>
      <c r="I9" s="22">
        <f>'정산 입력'!N9</f>
        <v/>
      </c>
      <c r="J9" s="22">
        <f>'정산 입력'!O9</f>
        <v/>
      </c>
      <c r="K9" s="23">
        <f>'정산 입력'!R9</f>
        <v/>
      </c>
      <c r="L9" s="23">
        <f>'정산 입력'!S9</f>
        <v/>
      </c>
      <c r="M9" s="22">
        <f>'정산 입력'!T9</f>
        <v/>
      </c>
    </row>
    <row r="10">
      <c r="A10" s="21" t="inlineStr">
        <is>
          <t>2월</t>
        </is>
      </c>
      <c r="B10" s="22">
        <f>'정산 입력'!E15</f>
        <v/>
      </c>
      <c r="C10" s="22">
        <f>'정산 입력'!F15</f>
        <v/>
      </c>
      <c r="D10" s="22">
        <f>'정산 입력'!G15</f>
        <v/>
      </c>
      <c r="E10" s="22">
        <f>'정산 입력'!H15</f>
        <v/>
      </c>
      <c r="F10" s="22">
        <f>'정산 입력'!I15</f>
        <v/>
      </c>
      <c r="G10" s="22">
        <f>'정산 입력'!J15</f>
        <v/>
      </c>
      <c r="H10" s="22">
        <f>'정산 입력'!L15</f>
        <v/>
      </c>
      <c r="I10" s="22">
        <f>'정산 입력'!N15</f>
        <v/>
      </c>
      <c r="J10" s="22">
        <f>'정산 입력'!O15</f>
        <v/>
      </c>
      <c r="K10" s="23">
        <f>'정산 입력'!R15</f>
        <v/>
      </c>
      <c r="L10" s="23">
        <f>'정산 입력'!S15</f>
        <v/>
      </c>
      <c r="M10" s="22">
        <f>'정산 입력'!T15</f>
        <v/>
      </c>
    </row>
    <row r="11">
      <c r="A11" s="21" t="inlineStr">
        <is>
          <t>3월</t>
        </is>
      </c>
      <c r="B11" s="22">
        <f>'정산 입력'!E21</f>
        <v/>
      </c>
      <c r="C11" s="22">
        <f>'정산 입력'!F21</f>
        <v/>
      </c>
      <c r="D11" s="22">
        <f>'정산 입력'!G21</f>
        <v/>
      </c>
      <c r="E11" s="22">
        <f>'정산 입력'!H21</f>
        <v/>
      </c>
      <c r="F11" s="22">
        <f>'정산 입력'!I21</f>
        <v/>
      </c>
      <c r="G11" s="22">
        <f>'정산 입력'!J21</f>
        <v/>
      </c>
      <c r="H11" s="22">
        <f>'정산 입력'!L21</f>
        <v/>
      </c>
      <c r="I11" s="22">
        <f>'정산 입력'!N21</f>
        <v/>
      </c>
      <c r="J11" s="22">
        <f>'정산 입력'!O21</f>
        <v/>
      </c>
      <c r="K11" s="23">
        <f>'정산 입력'!R21</f>
        <v/>
      </c>
      <c r="L11" s="23">
        <f>'정산 입력'!S21</f>
        <v/>
      </c>
      <c r="M11" s="22">
        <f>'정산 입력'!T21</f>
        <v/>
      </c>
    </row>
    <row r="12">
      <c r="A12" s="21" t="inlineStr">
        <is>
          <t>4월</t>
        </is>
      </c>
      <c r="B12" s="22">
        <f>'정산 입력'!E27</f>
        <v/>
      </c>
      <c r="C12" s="22">
        <f>'정산 입력'!F27</f>
        <v/>
      </c>
      <c r="D12" s="22">
        <f>'정산 입력'!G27</f>
        <v/>
      </c>
      <c r="E12" s="22">
        <f>'정산 입력'!H27</f>
        <v/>
      </c>
      <c r="F12" s="22">
        <f>'정산 입력'!I27</f>
        <v/>
      </c>
      <c r="G12" s="22">
        <f>'정산 입력'!J27</f>
        <v/>
      </c>
      <c r="H12" s="22">
        <f>'정산 입력'!L27</f>
        <v/>
      </c>
      <c r="I12" s="22">
        <f>'정산 입력'!N27</f>
        <v/>
      </c>
      <c r="J12" s="22">
        <f>'정산 입력'!O27</f>
        <v/>
      </c>
      <c r="K12" s="23">
        <f>'정산 입력'!R27</f>
        <v/>
      </c>
      <c r="L12" s="23">
        <f>'정산 입력'!S27</f>
        <v/>
      </c>
      <c r="M12" s="22">
        <f>'정산 입력'!T27</f>
        <v/>
      </c>
    </row>
    <row r="13">
      <c r="A13" s="21" t="inlineStr">
        <is>
          <t>5월</t>
        </is>
      </c>
      <c r="B13" s="22">
        <f>'정산 입력'!E33</f>
        <v/>
      </c>
      <c r="C13" s="22">
        <f>'정산 입력'!F33</f>
        <v/>
      </c>
      <c r="D13" s="22">
        <f>'정산 입력'!G33</f>
        <v/>
      </c>
      <c r="E13" s="22">
        <f>'정산 입력'!H33</f>
        <v/>
      </c>
      <c r="F13" s="22">
        <f>'정산 입력'!I33</f>
        <v/>
      </c>
      <c r="G13" s="22">
        <f>'정산 입력'!J33</f>
        <v/>
      </c>
      <c r="H13" s="22">
        <f>'정산 입력'!L33</f>
        <v/>
      </c>
      <c r="I13" s="22">
        <f>'정산 입력'!N33</f>
        <v/>
      </c>
      <c r="J13" s="22">
        <f>'정산 입력'!O33</f>
        <v/>
      </c>
      <c r="K13" s="23">
        <f>'정산 입력'!R33</f>
        <v/>
      </c>
      <c r="L13" s="23">
        <f>'정산 입력'!S33</f>
        <v/>
      </c>
      <c r="M13" s="22">
        <f>'정산 입력'!T33</f>
        <v/>
      </c>
    </row>
    <row r="14">
      <c r="A14" s="21" t="inlineStr">
        <is>
          <t>6월</t>
        </is>
      </c>
      <c r="B14" s="22">
        <f>'정산 입력'!E39</f>
        <v/>
      </c>
      <c r="C14" s="22">
        <f>'정산 입력'!F39</f>
        <v/>
      </c>
      <c r="D14" s="22">
        <f>'정산 입력'!G39</f>
        <v/>
      </c>
      <c r="E14" s="22">
        <f>'정산 입력'!H39</f>
        <v/>
      </c>
      <c r="F14" s="22">
        <f>'정산 입력'!I39</f>
        <v/>
      </c>
      <c r="G14" s="22">
        <f>'정산 입력'!J39</f>
        <v/>
      </c>
      <c r="H14" s="22">
        <f>'정산 입력'!L39</f>
        <v/>
      </c>
      <c r="I14" s="22">
        <f>'정산 입력'!N39</f>
        <v/>
      </c>
      <c r="J14" s="22">
        <f>'정산 입력'!O39</f>
        <v/>
      </c>
      <c r="K14" s="23">
        <f>'정산 입력'!R39</f>
        <v/>
      </c>
      <c r="L14" s="23">
        <f>'정산 입력'!S39</f>
        <v/>
      </c>
      <c r="M14" s="22">
        <f>'정산 입력'!T39</f>
        <v/>
      </c>
    </row>
    <row r="15">
      <c r="A15" s="21" t="inlineStr">
        <is>
          <t>7월</t>
        </is>
      </c>
      <c r="B15" s="22">
        <f>'정산 입력'!E45</f>
        <v/>
      </c>
      <c r="C15" s="22">
        <f>'정산 입력'!F45</f>
        <v/>
      </c>
      <c r="D15" s="22">
        <f>'정산 입력'!G45</f>
        <v/>
      </c>
      <c r="E15" s="22">
        <f>'정산 입력'!H45</f>
        <v/>
      </c>
      <c r="F15" s="22">
        <f>'정산 입력'!I45</f>
        <v/>
      </c>
      <c r="G15" s="22">
        <f>'정산 입력'!J45</f>
        <v/>
      </c>
      <c r="H15" s="22">
        <f>'정산 입력'!L45</f>
        <v/>
      </c>
      <c r="I15" s="22">
        <f>'정산 입력'!N45</f>
        <v/>
      </c>
      <c r="J15" s="22">
        <f>'정산 입력'!O45</f>
        <v/>
      </c>
      <c r="K15" s="23">
        <f>'정산 입력'!R45</f>
        <v/>
      </c>
      <c r="L15" s="23">
        <f>'정산 입력'!S45</f>
        <v/>
      </c>
      <c r="M15" s="22">
        <f>'정산 입력'!T45</f>
        <v/>
      </c>
    </row>
    <row r="16">
      <c r="A16" s="21" t="inlineStr">
        <is>
          <t>8월</t>
        </is>
      </c>
      <c r="B16" s="22">
        <f>'정산 입력'!E51</f>
        <v/>
      </c>
      <c r="C16" s="22">
        <f>'정산 입력'!F51</f>
        <v/>
      </c>
      <c r="D16" s="22">
        <f>'정산 입력'!G51</f>
        <v/>
      </c>
      <c r="E16" s="22">
        <f>'정산 입력'!H51</f>
        <v/>
      </c>
      <c r="F16" s="22">
        <f>'정산 입력'!I51</f>
        <v/>
      </c>
      <c r="G16" s="22">
        <f>'정산 입력'!J51</f>
        <v/>
      </c>
      <c r="H16" s="22">
        <f>'정산 입력'!L51</f>
        <v/>
      </c>
      <c r="I16" s="22">
        <f>'정산 입력'!N51</f>
        <v/>
      </c>
      <c r="J16" s="22">
        <f>'정산 입력'!O51</f>
        <v/>
      </c>
      <c r="K16" s="23">
        <f>'정산 입력'!R51</f>
        <v/>
      </c>
      <c r="L16" s="23">
        <f>'정산 입력'!S51</f>
        <v/>
      </c>
      <c r="M16" s="22">
        <f>'정산 입력'!T51</f>
        <v/>
      </c>
    </row>
    <row r="17">
      <c r="A17" s="21" t="inlineStr">
        <is>
          <t>9월</t>
        </is>
      </c>
      <c r="B17" s="22">
        <f>'정산 입력'!E57</f>
        <v/>
      </c>
      <c r="C17" s="22">
        <f>'정산 입력'!F57</f>
        <v/>
      </c>
      <c r="D17" s="22">
        <f>'정산 입력'!G57</f>
        <v/>
      </c>
      <c r="E17" s="22">
        <f>'정산 입력'!H57</f>
        <v/>
      </c>
      <c r="F17" s="22">
        <f>'정산 입력'!I57</f>
        <v/>
      </c>
      <c r="G17" s="22">
        <f>'정산 입력'!J57</f>
        <v/>
      </c>
      <c r="H17" s="22">
        <f>'정산 입력'!L57</f>
        <v/>
      </c>
      <c r="I17" s="22">
        <f>'정산 입력'!N57</f>
        <v/>
      </c>
      <c r="J17" s="22">
        <f>'정산 입력'!O57</f>
        <v/>
      </c>
      <c r="K17" s="23">
        <f>'정산 입력'!R57</f>
        <v/>
      </c>
      <c r="L17" s="23">
        <f>'정산 입력'!S57</f>
        <v/>
      </c>
      <c r="M17" s="22">
        <f>'정산 입력'!T57</f>
        <v/>
      </c>
    </row>
    <row r="18">
      <c r="A18" s="21" t="inlineStr">
        <is>
          <t>10월</t>
        </is>
      </c>
      <c r="B18" s="22">
        <f>'정산 입력'!E63</f>
        <v/>
      </c>
      <c r="C18" s="22">
        <f>'정산 입력'!F63</f>
        <v/>
      </c>
      <c r="D18" s="22">
        <f>'정산 입력'!G63</f>
        <v/>
      </c>
      <c r="E18" s="22">
        <f>'정산 입력'!H63</f>
        <v/>
      </c>
      <c r="F18" s="22">
        <f>'정산 입력'!I63</f>
        <v/>
      </c>
      <c r="G18" s="22">
        <f>'정산 입력'!J63</f>
        <v/>
      </c>
      <c r="H18" s="22">
        <f>'정산 입력'!L63</f>
        <v/>
      </c>
      <c r="I18" s="22">
        <f>'정산 입력'!N63</f>
        <v/>
      </c>
      <c r="J18" s="22">
        <f>'정산 입력'!O63</f>
        <v/>
      </c>
      <c r="K18" s="23">
        <f>'정산 입력'!R63</f>
        <v/>
      </c>
      <c r="L18" s="23">
        <f>'정산 입력'!S63</f>
        <v/>
      </c>
      <c r="M18" s="22">
        <f>'정산 입력'!T63</f>
        <v/>
      </c>
    </row>
    <row r="19">
      <c r="A19" s="21" t="inlineStr">
        <is>
          <t>11월</t>
        </is>
      </c>
      <c r="B19" s="22">
        <f>'정산 입력'!E69</f>
        <v/>
      </c>
      <c r="C19" s="22">
        <f>'정산 입력'!F69</f>
        <v/>
      </c>
      <c r="D19" s="22">
        <f>'정산 입력'!G69</f>
        <v/>
      </c>
      <c r="E19" s="22">
        <f>'정산 입력'!H69</f>
        <v/>
      </c>
      <c r="F19" s="22">
        <f>'정산 입력'!I69</f>
        <v/>
      </c>
      <c r="G19" s="22">
        <f>'정산 입력'!J69</f>
        <v/>
      </c>
      <c r="H19" s="22">
        <f>'정산 입력'!L69</f>
        <v/>
      </c>
      <c r="I19" s="22">
        <f>'정산 입력'!N69</f>
        <v/>
      </c>
      <c r="J19" s="22">
        <f>'정산 입력'!O69</f>
        <v/>
      </c>
      <c r="K19" s="23">
        <f>'정산 입력'!R69</f>
        <v/>
      </c>
      <c r="L19" s="23">
        <f>'정산 입력'!S69</f>
        <v/>
      </c>
      <c r="M19" s="22">
        <f>'정산 입력'!T69</f>
        <v/>
      </c>
    </row>
    <row r="20">
      <c r="A20" s="21" t="inlineStr">
        <is>
          <t>12월</t>
        </is>
      </c>
      <c r="B20" s="22">
        <f>'정산 입력'!E75</f>
        <v/>
      </c>
      <c r="C20" s="22">
        <f>'정산 입력'!F75</f>
        <v/>
      </c>
      <c r="D20" s="22">
        <f>'정산 입력'!G75</f>
        <v/>
      </c>
      <c r="E20" s="22">
        <f>'정산 입력'!H75</f>
        <v/>
      </c>
      <c r="F20" s="22">
        <f>'정산 입력'!I75</f>
        <v/>
      </c>
      <c r="G20" s="22">
        <f>'정산 입력'!J75</f>
        <v/>
      </c>
      <c r="H20" s="22">
        <f>'정산 입력'!L75</f>
        <v/>
      </c>
      <c r="I20" s="22">
        <f>'정산 입력'!N75</f>
        <v/>
      </c>
      <c r="J20" s="22">
        <f>'정산 입력'!O75</f>
        <v/>
      </c>
      <c r="K20" s="23">
        <f>'정산 입력'!R75</f>
        <v/>
      </c>
      <c r="L20" s="23">
        <f>'정산 입력'!S75</f>
        <v/>
      </c>
      <c r="M20" s="22">
        <f>'정산 입력'!T75</f>
        <v/>
      </c>
    </row>
    <row r="21">
      <c r="A21" s="12" t="inlineStr">
        <is>
          <t>합계</t>
        </is>
      </c>
      <c r="B21" s="14">
        <f>SUM(B9:B20)</f>
        <v/>
      </c>
      <c r="C21" s="14">
        <f>SUM(C9:C20)</f>
        <v/>
      </c>
      <c r="D21" s="14">
        <f>SUM(D9:D20)</f>
        <v/>
      </c>
      <c r="E21" s="14">
        <f>SUM(E9:E20)</f>
        <v/>
      </c>
      <c r="F21" s="14">
        <f>SUM(F9:F20)</f>
        <v/>
      </c>
      <c r="G21" s="14">
        <f>SUM(G9:G20)</f>
        <v/>
      </c>
      <c r="H21" s="14">
        <f>SUM(H9:H20)</f>
        <v/>
      </c>
      <c r="I21" s="14">
        <f>SUM(I9:I20)</f>
        <v/>
      </c>
      <c r="J21" s="14">
        <f>SUM(J9:J20)</f>
        <v/>
      </c>
      <c r="K21" s="14">
        <f>SUM(K9:K20)</f>
        <v/>
      </c>
      <c r="L21" s="14">
        <f>SUM(L9:L20)</f>
        <v/>
      </c>
      <c r="M21" s="14">
        <f>SUM(M9:M20)</f>
        <v/>
      </c>
    </row>
    <row r="40">
      <c r="A40" s="24" t="inlineStr">
        <is>
          <t>수익 구성 데이터</t>
        </is>
      </c>
    </row>
    <row r="41">
      <c r="A41" t="inlineStr">
        <is>
          <t>카드수수료</t>
        </is>
      </c>
      <c r="B41" s="25">
        <f>E21</f>
        <v/>
      </c>
    </row>
    <row r="42">
      <c r="A42" t="inlineStr">
        <is>
          <t>현금수수료</t>
        </is>
      </c>
      <c r="B42" s="25">
        <f>F21</f>
        <v/>
      </c>
    </row>
    <row r="43">
      <c r="A43" t="inlineStr">
        <is>
          <t>임대료</t>
        </is>
      </c>
      <c r="B43" s="25">
        <f>H21</f>
        <v/>
      </c>
    </row>
    <row r="44">
      <c r="A44" t="inlineStr">
        <is>
          <t>관리비</t>
        </is>
      </c>
      <c r="B44" s="25">
        <f>I21</f>
        <v/>
      </c>
    </row>
    <row r="45">
      <c r="A45" t="inlineStr">
        <is>
          <t>공과금</t>
        </is>
      </c>
      <c r="B45" s="25">
        <f>J21</f>
        <v/>
      </c>
    </row>
  </sheetData>
  <mergeCells count="11">
    <mergeCell ref="E4:F4"/>
    <mergeCell ref="A1:M1"/>
    <mergeCell ref="B3:C3"/>
    <mergeCell ref="A6:M6"/>
    <mergeCell ref="H4:I4"/>
    <mergeCell ref="A7:M7"/>
    <mergeCell ref="K4:L4"/>
    <mergeCell ref="B4:C4"/>
    <mergeCell ref="E3:F3"/>
    <mergeCell ref="K3:L3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25" customWidth="1" min="8" max="8"/>
  </cols>
  <sheetData>
    <row r="1">
      <c r="A1" s="1" t="inlineStr">
        <is>
          <t>미식가의 주방 — 미수금 관리</t>
        </is>
      </c>
    </row>
    <row r="2">
      <c r="A2" s="2" t="inlineStr">
        <is>
          <t>기존 미수금 현황 + 상환 계획 (세금계산서 vs 은행거래 비교 기준)</t>
        </is>
      </c>
    </row>
    <row r="3">
      <c r="A3" s="4" t="inlineStr">
        <is>
          <t>#</t>
        </is>
      </c>
      <c r="B3" s="4" t="inlineStr">
        <is>
          <t>항목</t>
        </is>
      </c>
      <c r="C3" s="4" t="inlineStr">
        <is>
          <t>원금</t>
        </is>
      </c>
      <c r="D3" s="4" t="inlineStr">
        <is>
          <t>차감 누적</t>
        </is>
      </c>
      <c r="E3" s="4" t="inlineStr">
        <is>
          <t>잔액</t>
        </is>
      </c>
      <c r="F3" s="4" t="inlineStr">
        <is>
          <t>이자</t>
        </is>
      </c>
      <c r="G3" s="4" t="inlineStr">
        <is>
          <t>상태</t>
        </is>
      </c>
      <c r="H3" s="4" t="inlineStr">
        <is>
          <t>비고</t>
        </is>
      </c>
    </row>
    <row r="4">
      <c r="A4" s="18" t="n">
        <v>1</v>
      </c>
      <c r="B4" s="18" t="inlineStr">
        <is>
          <t>공과금 미수</t>
        </is>
      </c>
      <c r="C4" s="22" t="n">
        <v>26480630</v>
      </c>
      <c r="D4" s="7" t="inlineStr"/>
      <c r="E4" s="22">
        <f>C4-IF(D4="",0,D4)</f>
        <v/>
      </c>
      <c r="F4" s="22" t="inlineStr"/>
      <c r="G4" s="18" t="inlineStr">
        <is>
          <t>미수</t>
        </is>
      </c>
      <c r="H4" s="18" t="inlineStr">
        <is>
          <t>2024.4~2025.12 누적 (가장 큰 항목)</t>
        </is>
      </c>
    </row>
    <row r="5">
      <c r="A5" s="18" t="n">
        <v>2</v>
      </c>
      <c r="B5" s="18" t="inlineStr">
        <is>
          <t>임대료 미수</t>
        </is>
      </c>
      <c r="C5" s="22" t="n">
        <v>6600000</v>
      </c>
      <c r="D5" s="7" t="inlineStr"/>
      <c r="E5" s="22">
        <f>C5-IF(D5="",0,D5)</f>
        <v/>
      </c>
      <c r="F5" s="22" t="inlineStr"/>
      <c r="G5" s="18" t="inlineStr">
        <is>
          <t>미수</t>
        </is>
      </c>
      <c r="H5" s="18" t="inlineStr"/>
    </row>
    <row r="6">
      <c r="A6" s="18" t="n">
        <v>3</v>
      </c>
      <c r="B6" s="18" t="inlineStr">
        <is>
          <t>현금매출 수수료 미수</t>
        </is>
      </c>
      <c r="C6" s="22" t="n">
        <v>2303154</v>
      </c>
      <c r="D6" s="7" t="inlineStr"/>
      <c r="E6" s="22">
        <f>C6-IF(D6="",0,D6)</f>
        <v/>
      </c>
      <c r="F6" s="22" t="inlineStr"/>
      <c r="G6" s="18" t="inlineStr">
        <is>
          <t>미수</t>
        </is>
      </c>
      <c r="H6" s="18" t="inlineStr"/>
    </row>
    <row r="7">
      <c r="A7" s="18" t="n">
        <v>4</v>
      </c>
      <c r="B7" s="18" t="inlineStr">
        <is>
          <t>관리비 미수</t>
        </is>
      </c>
      <c r="C7" s="22" t="n">
        <v>2123763</v>
      </c>
      <c r="D7" s="7" t="inlineStr"/>
      <c r="E7" s="22">
        <f>C7-IF(D7="",0,D7)</f>
        <v/>
      </c>
      <c r="F7" s="22" t="inlineStr"/>
      <c r="G7" s="18" t="inlineStr">
        <is>
          <t>미수</t>
        </is>
      </c>
      <c r="H7" s="18" t="inlineStr"/>
    </row>
    <row r="8">
      <c r="A8" s="18" t="n">
        <v>5</v>
      </c>
      <c r="B8" s="18" t="inlineStr">
        <is>
          <t>정수기 임대료 미수</t>
        </is>
      </c>
      <c r="C8" s="22" t="n">
        <v>333900</v>
      </c>
      <c r="D8" s="7" t="inlineStr"/>
      <c r="E8" s="22">
        <f>C8-IF(D8="",0,D8)</f>
        <v/>
      </c>
      <c r="F8" s="22" t="inlineStr"/>
      <c r="G8" s="18" t="inlineStr">
        <is>
          <t>미수</t>
        </is>
      </c>
      <c r="H8" s="18" t="inlineStr"/>
    </row>
    <row r="9">
      <c r="A9" s="18" t="n">
        <v>6</v>
      </c>
      <c r="B9" s="18" t="inlineStr">
        <is>
          <t>이자 (연 10%)</t>
        </is>
      </c>
      <c r="C9" s="22" t="n">
        <v>2766151</v>
      </c>
      <c r="D9" s="7" t="inlineStr"/>
      <c r="E9" s="22">
        <f>C9-IF(D9="",0,D9)</f>
        <v/>
      </c>
      <c r="F9" s="22" t="inlineStr"/>
      <c r="G9" s="18" t="inlineStr">
        <is>
          <t>미수</t>
        </is>
      </c>
      <c r="H9" s="18" t="inlineStr">
        <is>
          <t>지연이자율 연 10%</t>
        </is>
      </c>
    </row>
    <row r="10">
      <c r="A10" s="10" t="n"/>
      <c r="B10" s="10" t="inlineStr">
        <is>
          <t>합계</t>
        </is>
      </c>
      <c r="C10" s="11">
        <f>SUM(C4:C9)</f>
        <v/>
      </c>
      <c r="D10" s="11">
        <f>SUM(D4:D9)</f>
        <v/>
      </c>
      <c r="E10" s="11">
        <f>SUM(E4:E9)</f>
        <v/>
      </c>
      <c r="F10" s="11">
        <f>SUM(F4:F9)</f>
        <v/>
      </c>
      <c r="G10" s="10" t="n"/>
      <c r="H10" s="10" t="n"/>
    </row>
    <row r="12">
      <c r="A12" s="20" t="inlineStr">
        <is>
          <t>📋 미수금 차감 계획 (주간 정산에서 분할 차감)</t>
        </is>
      </c>
    </row>
    <row r="13">
      <c r="A13" s="26" t="inlineStr">
        <is>
          <t>#</t>
        </is>
      </c>
      <c r="B13" s="26" t="inlineStr">
        <is>
          <t>회차</t>
        </is>
      </c>
      <c r="C13" s="26" t="inlineStr">
        <is>
          <t>예정일</t>
        </is>
      </c>
      <c r="D13" s="26" t="inlineStr">
        <is>
          <t>차감금액</t>
        </is>
      </c>
      <c r="E13" s="26" t="inlineStr">
        <is>
          <t>차감 후 잔액</t>
        </is>
      </c>
      <c r="F13" s="26" t="inlineStr"/>
      <c r="G13" s="26" t="inlineStr"/>
      <c r="H13" s="26" t="inlineStr">
        <is>
          <t>비고</t>
        </is>
      </c>
    </row>
    <row r="14">
      <c r="A14" s="18" t="n">
        <v>1</v>
      </c>
      <c r="B14" s="18" t="inlineStr">
        <is>
          <t>1회차</t>
        </is>
      </c>
      <c r="C14" s="18" t="inlineStr">
        <is>
          <t>2026-03-02</t>
        </is>
      </c>
      <c r="D14" s="7" t="n">
        <v>6000000</v>
      </c>
      <c r="E14" s="22">
        <f>E10-D14</f>
        <v/>
      </c>
    </row>
    <row r="15">
      <c r="A15" s="18" t="n">
        <v>2</v>
      </c>
      <c r="B15" s="18" t="inlineStr">
        <is>
          <t>2회차</t>
        </is>
      </c>
      <c r="C15" s="18" t="inlineStr">
        <is>
          <t>2026-03-09</t>
        </is>
      </c>
      <c r="D15" s="7" t="n">
        <v>6000000</v>
      </c>
      <c r="E15" s="22">
        <f>E14-D15</f>
        <v/>
      </c>
    </row>
    <row r="16">
      <c r="A16" s="18" t="n">
        <v>3</v>
      </c>
      <c r="B16" s="18" t="inlineStr">
        <is>
          <t>3회차</t>
        </is>
      </c>
      <c r="C16" s="18" t="inlineStr">
        <is>
          <t>2026-03-16</t>
        </is>
      </c>
      <c r="D16" s="7" t="n">
        <v>6000000</v>
      </c>
      <c r="E16" s="22">
        <f>E15-D16</f>
        <v/>
      </c>
    </row>
    <row r="17">
      <c r="A17" s="18" t="n">
        <v>4</v>
      </c>
      <c r="B17" s="18" t="inlineStr">
        <is>
          <t>4회차</t>
        </is>
      </c>
      <c r="C17" s="18" t="inlineStr">
        <is>
          <t>2026-03-23</t>
        </is>
      </c>
      <c r="D17" s="7" t="n">
        <v>6000000</v>
      </c>
      <c r="E17" s="22">
        <f>E16-D17</f>
        <v/>
      </c>
    </row>
    <row r="18">
      <c r="A18" s="18" t="n">
        <v>5</v>
      </c>
      <c r="B18" s="18" t="inlineStr">
        <is>
          <t>5회차</t>
        </is>
      </c>
      <c r="C18" s="18" t="inlineStr">
        <is>
          <t>2026-03-30</t>
        </is>
      </c>
      <c r="D18" s="7" t="n">
        <v>6000000</v>
      </c>
      <c r="E18" s="22">
        <f>E17-D18</f>
        <v/>
      </c>
    </row>
    <row r="19">
      <c r="A19" s="18" t="n">
        <v>6</v>
      </c>
      <c r="B19" s="18" t="inlineStr">
        <is>
          <t>6회차</t>
        </is>
      </c>
      <c r="C19" s="18" t="inlineStr">
        <is>
          <t>2026-04-06</t>
        </is>
      </c>
      <c r="D19" s="7" t="n">
        <v>6000000</v>
      </c>
      <c r="E19" s="22">
        <f>E18-D19</f>
        <v/>
      </c>
    </row>
    <row r="20">
      <c r="A20" s="18" t="n">
        <v>7</v>
      </c>
      <c r="B20" s="18" t="inlineStr">
        <is>
          <t>7회차</t>
        </is>
      </c>
      <c r="C20" s="18" t="inlineStr">
        <is>
          <t>2026-04-20</t>
        </is>
      </c>
      <c r="D20" s="7" t="n">
        <v>4607598</v>
      </c>
      <c r="E20" s="22">
        <f>E19-D20</f>
        <v/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2026-03-07T11:39:20Z</dcterms:created>
  <dcterms:modified xmlns:dcterms="http://purl.org/dc/terms/" xmlns:xsi="http://www.w3.org/2001/XMLSchema-instance" xsi:type="dcterms:W3CDTF">2026-03-07T11:39:20Z</dcterms:modified>
</cp:coreProperties>
</file>